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83fa89447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7fba4252af4a4e"/>
    <x:sheet xmlns:r="http://schemas.openxmlformats.org/officeDocument/2006/relationships" name="Team Matrix" sheetId="2" r:id="Rb47d88e74f4741aa"/>
    <x:sheet xmlns:r="http://schemas.openxmlformats.org/officeDocument/2006/relationships" name="Weekend Evolution" sheetId="3" r:id="R14c4747241a84a3d"/>
    <x:sheet xmlns:r="http://schemas.openxmlformats.org/officeDocument/2006/relationships" name="Transfer Details" sheetId="4" r:id="R5cabdc5bc06e4ec8"/>
    <x:sheet xmlns:r="http://schemas.openxmlformats.org/officeDocument/2006/relationships" name="Chip Analysis" sheetId="5" r:id="Re68776ab373d4394"/>
    <x:sheet xmlns:r="http://schemas.openxmlformats.org/officeDocument/2006/relationships" name="Methodology" sheetId="6" r:id="R6593f21aeb2b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&quot;$&quot;0.0&quot;M&quot;"/>
    <x:numFmt numFmtId="202" formatCode="+0;-0;0"/>
    <x:numFmt numFmtId="203" formatCode="0.0"/>
    <x:numFmt numFmtId="204" formatCode="0"/>
    <x:numFmt numFmtId="205" formatCode="0%"/>
    <x:numFmt numFmtId="206" formatCode="+0.0;-0.0;0.0"/>
    <x:numFmt numFmtId="207" formatCode="+0.0&quot;M&quot;;-0.0&quot;M&quot;;0.0&quot;M&quot;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4E00"/>
      <x:name val="Carlito"/>
    </x:font>
    <x:font>
      <x:b/>
      <x:sz val="11"/>
      <x:color rgb="FFFFFFFF"/>
      <x:name val="Carlito"/>
    </x:font>
    <x:font>
      <x:b/>
      <x:sz val="18"/>
      <x:color rgb="FF1317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31722"/>
      </x:patternFill>
    </x:fill>
    <x:fill>
      <x:patternFill patternType="solid">
        <x:fgColor rgb="FFFFF8E1"/>
      </x:patternFill>
    </x:fill>
    <x:fill>
      <x:patternFill patternType="solid">
        <x:fgColor rgb="FFE10600"/>
      </x:patternFill>
    </x:fill>
    <x:fill>
      <x:patternFill patternType="solid">
        <x:fgColor rgb="FFF4F6F8"/>
      </x:patternFill>
    </x:fill>
    <x:fill>
      <x:patternFill patternType="solid">
        <x:fgColor rgb="FF00A6A6"/>
      </x:patternFill>
    </x:fill>
    <x:fill>
      <x:patternFill patternType="solid">
        <x:fgColor rgb="FFD6A521"/>
      </x:patternFill>
    </x:fill>
    <x:fill>
      <x:patternFill patternType="solid">
        <x:fgColor rgb="FF2D6CDF"/>
      </x:patternFill>
    </x:fill>
    <x:fill>
      <x:patternFill patternType="solid">
        <x:fgColor rgb="FF202531"/>
      </x:patternFill>
    </x:fill>
  </x:fills>
  <x:borders count="11">
    <x:border/>
    <x:border>
      <x:left style="thin">
        <x:color rgb="FFE8D49A"/>
      </x:left>
      <x:top style="thin">
        <x:color rgb="FFE8D49A"/>
      </x:top>
      <x:bottom style="thin">
        <x:color rgb="FFE8D49A"/>
      </x:bottom>
    </x:border>
    <x:border>
      <x:top style="thin">
        <x:color rgb="FFE8D49A"/>
      </x:top>
      <x:bottom style="thin">
        <x:color rgb="FFE8D49A"/>
      </x:bottom>
    </x:border>
    <x:border>
      <x:right style="thin">
        <x:color rgb="FFE8D49A"/>
      </x:right>
      <x:top style="thin">
        <x:color rgb="FFE8D49A"/>
      </x:top>
      <x:bottom style="thin">
        <x:color rgb="FFE8D49A"/>
      </x:bottom>
    </x:border>
    <x:border>
      <x:left style="thin">
        <x:color rgb="FFD9DEE5"/>
      </x:left>
      <x:top style="thin">
        <x:color rgb="FFD9DEE5"/>
      </x:top>
    </x:border>
    <x:border>
      <x:top style="thin">
        <x:color rgb="FFD9DEE5"/>
      </x:top>
    </x:border>
    <x:border>
      <x:right style="thin">
        <x:color rgb="FFD9DEE5"/>
      </x:right>
      <x:top style="thin">
        <x:color rgb="FFD9DEE5"/>
      </x:top>
    </x:border>
    <x:border>
      <x:left style="thin">
        <x:color rgb="FFD9DEE5"/>
      </x:left>
      <x:bottom style="thin">
        <x:color rgb="FFD9DEE5"/>
      </x:bottom>
    </x:border>
    <x:border>
      <x:bottom style="thin">
        <x:color rgb="FFD9DEE5"/>
      </x:bottom>
    </x:border>
    <x:border>
      <x:right style="thin">
        <x:color rgb="FFD9DEE5"/>
      </x:right>
      <x:bottom style="thin">
        <x:color rgb="FFD9DEE5"/>
      </x:bottom>
    </x:border>
    <x:border>
      <x:bottom style="medium">
        <x:color rgb="FFE10600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7" xfId="0" applyNumberFormat="1" applyFont="1" applyFill="1" applyBorder="1"/>
    <x:xf numFmtId="201" fontId="4" fillId="5" borderId="8" xfId="0" applyNumberFormat="1" applyFont="1" applyFill="1" applyBorder="1"/>
    <x:xf numFmtId="201" fontId="4" fillId="5" borderId="9" xfId="0" applyNumberFormat="1" applyFont="1" applyFill="1" applyBorder="1"/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7" xfId="0" applyNumberFormat="1" applyFont="1" applyFill="1" applyBorder="1" applyAlignment="1">
      <x:alignment horizontal="center"/>
    </x:xf>
    <x:xf numFmtId="201" fontId="4" fillId="5" borderId="8" xfId="0" applyNumberFormat="1" applyFont="1" applyFill="1" applyBorder="1" applyAlignment="1">
      <x:alignment horizontal="center"/>
    </x:xf>
    <x:xf numFmtId="201" fontId="4" fillId="5" borderId="9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0" xfId="0" applyNumberFormat="1" applyFont="1" applyFill="1" applyBorder="1"/>
    <x:xf numFmtId="0" fontId="3" fillId="9" borderId="10" xfId="0" applyNumberFormat="1" applyFont="1" applyFill="1" applyBorder="1" applyAlignment="1">
      <x:alignment wrapText="1"/>
    </x:xf>
    <x:xf numFmtId="0" fontId="3" fillId="9" borderId="10" xfId="0" applyNumberFormat="1" applyFont="1" applyFill="1" applyBorder="1" applyAlignment="1">
      <x:alignment horizontal="center" wrapText="1"/>
    </x:xf>
    <x:xf numFmtId="0" fontId="3" fillId="9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  <x:xf numFmtId="203" fontId="0" fillId="0" borderId="0" xfId="0" applyNumberFormat="1" applyFont="1" applyFill="1" applyBorder="1" applyAlignment="1">
      <x:alignment horizontal="right" vertical="center"/>
    </x:xf>
    <x:xf numFmtId="204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A3211B"/>
      </x:font>
      <x:fill>
        <x:patternFill patternType="solid">
          <x:bgColor rgb="FFFBE2E0"/>
        </x:patternFill>
      </x:fill>
    </x:dxf>
    <x:dxf>
      <x:font>
        <x:color rgb="FF176B36"/>
      </x:font>
      <x:fill>
        <x:patternFill patternType="solid">
          <x:bgColor rgb="FFDDF4E4"/>
        </x:patternFill>
      </x:fill>
    </x:dxf>
    <x:dxf>
      <x:font>
        <x:color rgb="FFA3211B"/>
      </x:font>
      <x:fill>
        <x:patternFill patternType="solid">
          <x:bgColor rgb="FFFBE2E0"/>
        </x:patternFill>
      </x:fill>
    </x:dxf>
    <x:dxf>
      <x:font>
        <x:color rgb="FF176B36"/>
      </x:font>
      <x:fill>
        <x:patternFill patternType="solid">
          <x:bgColor rgb="FFDDF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52df3fb7642ca" /><Relationship Type="http://schemas.openxmlformats.org/officeDocument/2006/relationships/theme" Target="/xl/theme/theme1.xml" Id="R5d4945a1af1641ae" /><Relationship Type="http://schemas.openxmlformats.org/officeDocument/2006/relationships/sharedStrings" Target="/xl/sharedStrings.xml" Id="R8cea5b4bb6524c27" /><Relationship Type="http://schemas.openxmlformats.org/officeDocument/2006/relationships/worksheet" Target="/xl/worksheets/sheet1.xml" Id="R1c7fba4252af4a4e" /><Relationship Type="http://schemas.openxmlformats.org/officeDocument/2006/relationships/worksheet" Target="/xl/worksheets/sheet2.xml" Id="Rb47d88e74f4741aa" /><Relationship Type="http://schemas.openxmlformats.org/officeDocument/2006/relationships/worksheet" Target="/xl/worksheets/sheet3.xml" Id="R14c4747241a84a3d" /><Relationship Type="http://schemas.openxmlformats.org/officeDocument/2006/relationships/worksheet" Target="/xl/worksheets/sheet4.xml" Id="R5cabdc5bc06e4ec8" /><Relationship Type="http://schemas.openxmlformats.org/officeDocument/2006/relationships/worksheet" Target="/xl/worksheets/sheet5.xml" Id="Re68776ab373d4394" /><Relationship Type="http://schemas.openxmlformats.org/officeDocument/2006/relationships/worksheet" Target="/xl/worksheets/sheet6.xml" Id="R6593f21aeb2b44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00fe17319241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Full-season vs genuine-archive points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Full points</c:v>
          </c:tx>
          <c:cat>
            <c:strRef>
              <c:f>'Summary'!$U$9:$U$20</c:f>
              <c:strCache>
                <c:ptCount val="0"/>
              </c:strCache>
            </c:strRef>
          </c:cat>
          <c:val>
            <c:numRef>
              <c:f>'Summary'!$V$9:$V$20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Genuine points</c:v>
          </c:tx>
          <c:cat>
            <c:strRef>
              <c:f>'Summary'!$U$9:$U$20</c:f>
              <c:strCache>
                <c:ptCount val="0"/>
              </c:strCache>
            </c:strRef>
          </c:cat>
          <c:val>
            <c:numRef>
              <c:f>'Summary'!$W$9:$W$20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12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24</xdr:col>
      <xdr:colOff>0</xdr:colOff>
      <xdr:row>1</xdr:row>
      <xdr:rowOff>0</xdr:rowOff>
    </xdr:from>
    <xdr:to>
      <xdr:col>33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00fe17319241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Results" displayName="SummaryResults" ref="A8:S20" headerRowCount="1" totalsRowCount="0" totalsRowShown="0">
  <x:autoFilter ref="A8:S20"/>
  <x:tableColumns count="19">
    <x:tableColumn id="1" name="Manager"/>
    <x:tableColumn id="2" name="Risk profile"/>
    <x:tableColumn id="3" name="Full points"/>
    <x:tableColumn id="4" name="Genuine points"/>
    <x:tableColumn id="5" name="Final budget"/>
    <x:tableColumn id="6" name="Budget gain"/>
    <x:tableColumn id="7" name="Chip Δ full"/>
    <x:tableColumn id="8" name="Chip Δ genuine"/>
    <x:tableColumn id="9" name="Transfers"/>
    <x:tableColumn id="10" name="Penalties"/>
    <x:tableColumn id="11" name="Mean forecast P5 downside"/>
    <x:tableColumn id="12" name="Realised negative points"/>
    <x:tableColumn id="13" name="Worst round"/>
    <x:tableColumn id="14" name="Genuine rank"/>
    <x:tableColumn id="15" name="Limitless"/>
    <x:tableColumn id="16" name="Wild Card"/>
    <x:tableColumn id="17" name="No Negative"/>
    <x:tableColumn id="18" name="Autopilot"/>
    <x:tableColumn id="19" name="3x Bo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amMatrixTable" displayName="TeamMatrixTable" ref="A3:AA15" headerRowCount="1" totalsRowCount="0" totalsRowShown="0">
  <x:autoFilter ref="A3:AA15"/>
  <x:tableColumns count="27">
    <x:tableColumn id="1" name="Manager"/>
    <x:tableColumn id="2" name="Risk profile"/>
    <x:tableColumn id="3" name="Full pts"/>
    <x:tableColumn id="4" name="Genuine pts"/>
    <x:tableColumn id="5" name="Final budget"/>
    <x:tableColumn id="6" name="R1 drivers"/>
    <x:tableColumn id="7" name="R1 constructors"/>
    <x:tableColumn id="8" name="R2 drivers"/>
    <x:tableColumn id="9" name="R2 constructors"/>
    <x:tableColumn id="10" name="R3 drivers"/>
    <x:tableColumn id="11" name="R3 constructors"/>
    <x:tableColumn id="12" name="R6 drivers"/>
    <x:tableColumn id="13" name="R6 constructors"/>
    <x:tableColumn id="14" name="R7 drivers"/>
    <x:tableColumn id="15" name="R7 constructors"/>
    <x:tableColumn id="16" name="R8 drivers"/>
    <x:tableColumn id="17" name="R8 constructors"/>
    <x:tableColumn id="18" name="R9 drivers"/>
    <x:tableColumn id="19" name="R9 constructors"/>
    <x:tableColumn id="20" name="R10 drivers"/>
    <x:tableColumn id="21" name="R10 constructors"/>
    <x:tableColumn id="22" name="R11 drivers"/>
    <x:tableColumn id="23" name="R11 constructors"/>
    <x:tableColumn id="24" name="R12 drivers"/>
    <x:tableColumn id="25" name="R12 constructors"/>
    <x:tableColumn id="26" name="R13 drivers"/>
    <x:tableColumn id="27" name="R13 constructor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WeekendEvolutionTable" displayName="WeekendEvolutionTable" ref="A4:U136" headerRowCount="1" totalsRowCount="0" totalsRowShown="0">
  <x:autoFilter ref="A4:U136"/>
  <x:tableColumns count="21">
    <x:tableColumn id="1" name="Manager"/>
    <x:tableColumn id="2" name="Risk profile"/>
    <x:tableColumn id="3" name="Round"/>
    <x:tableColumn id="4" name="Weekend"/>
    <x:tableColumn id="5" name="Archive"/>
    <x:tableColumn id="6" name="Chip"/>
    <x:tableColumn id="7" name="Budget before"/>
    <x:tableColumn id="8" name="Team cost"/>
    <x:tableColumn id="9" name="Budget after"/>
    <x:tableColumn id="10" name="Captain"/>
    <x:tableColumn id="11" name="Drivers"/>
    <x:tableColumn id="12" name="Constructors"/>
    <x:tableColumn id="13" name="Transfers"/>
    <x:tableColumn id="14" name="Free transfers"/>
    <x:tableColumn id="15" name="Penalty"/>
    <x:tableColumn id="16" name="Projected points"/>
    <x:tableColumn id="17" name="Projected price gain"/>
    <x:tableColumn id="18" name="Forecast P5 downside"/>
    <x:tableColumn id="19" name="Actual points"/>
    <x:tableColumn id="20" name="Changes"/>
    <x:tableColumn id="21" name="Reas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ferLedgerTable" displayName="TransferLedgerTable" ref="A4:X218" headerRowCount="1" totalsRowCount="0" totalsRowShown="0">
  <x:autoFilter ref="A4:X218"/>
  <x:tableColumns count="24">
    <x:tableColumn id="1" name="Manager"/>
    <x:tableColumn id="2" name="Risk profile"/>
    <x:tableColumn id="3" name="Round"/>
    <x:tableColumn id="4" name="Weekend"/>
    <x:tableColumn id="5" name="Archive"/>
    <x:tableColumn id="6" name="Chip"/>
    <x:tableColumn id="7" name="Asset type"/>
    <x:tableColumn id="8" name="Outgoing"/>
    <x:tableColumn id="9" name="Incoming"/>
    <x:tableColumn id="10" name="Old price"/>
    <x:tableColumn id="11" name="New price"/>
    <x:tableColumn id="12" name="Price Δ"/>
    <x:tableColumn id="13" name="Old projected pts"/>
    <x:tableColumn id="14" name="New projected pts"/>
    <x:tableColumn id="15" name="Projection Δ"/>
    <x:tableColumn id="16" name="Old forecast price Δ"/>
    <x:tableColumn id="17" name="New forecast price Δ"/>
    <x:tableColumn id="18" name="Forecast price Δ change"/>
    <x:tableColumn id="19" name="Old P5"/>
    <x:tableColumn id="20" name="New P5"/>
    <x:tableColumn id="21" name="Negative-P5 exposure Δ"/>
    <x:tableColumn id="22" name="Approx utility Δ"/>
    <x:tableColumn id="23" name="Lineup penalty"/>
    <x:tableColumn id="24" name="Reason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ChipContributionTable" displayName="ChipContributionTable" ref="A4:H8" headerRowCount="1" totalsRowCount="0" totalsRowShown="0">
  <x:autoFilter ref="A4:H8"/>
  <x:tableColumns count="8">
    <x:tableColumn id="1" name="Chip"/>
    <x:tableColumn id="2" name="Paths played"/>
    <x:tableColumn id="3" name="Positive return"/>
    <x:tableColumn id="4" name="Mean points"/>
    <x:tableColumn id="5" name="Median points"/>
    <x:tableColumn id="6" name="Minimum"/>
    <x:tableColumn id="7" name="Maximum"/>
    <x:tableColumn id="8" name="Mean budget"/>
  </x:tableColumns>
  <x:tableStyleInfo name="TableStyleMedium3" showFirstColumn="0" showLastColumn="0" showRowStripes="1" showColumnStripes="0"/>
</x:table>
</file>

<file path=xl/tables/table6.xml><?xml version="1.0" encoding="utf-8"?>
<x:table xmlns:x="http://schemas.openxmlformats.org/spreadsheetml/2006/main" id="6" name="ChipScheduleTable" displayName="ChipScheduleTable" ref="A11:G23" headerRowCount="1" totalsRowCount="0" totalsRowShown="0">
  <x:autoFilter ref="A11:G23"/>
  <x:tableColumns count="7">
    <x:tableColumn id="1" name="Manager"/>
    <x:tableColumn id="2" name="Risk profile"/>
    <x:tableColumn id="3" name="Limitless"/>
    <x:tableColumn id="4" name="Wild Card"/>
    <x:tableColumn id="5" name="No Negative"/>
    <x:tableColumn id="6" name="Autopilot"/>
    <x:tableColumn id="7" name="3x Boos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MethodologyTable" displayName="MethodologyTable" ref="A3:B22" headerRowCount="1" totalsRowCount="0" totalsRowShown="0">
  <x:autoFilter ref="A3:B22"/>
  <x:tableColumns count="2">
    <x:tableColumn id="1" name="Item"/>
    <x:tableColumn id="2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184de3ffec4412" /><Relationship Type="http://schemas.openxmlformats.org/officeDocument/2006/relationships/table" Target="/xl/tables/table1.xml" Id="Rc376345466dd42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c9ee3ff83f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7eab7c3d254a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7eb8315c4847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c4ce7ed48b4d88" /><Relationship Type="http://schemas.openxmlformats.org/officeDocument/2006/relationships/table" Target="/xl/tables/table6.xml" Id="R6ce5eaf59bf34a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66bd1f765c94c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1" max="21" width="34" hidden="0" customWidth="1"/>
  </x:cols>
  <x:sheetData>
    <x:row r="1" ht="30" customHeight="1">
      <x:c r="A1" s="4" t="str">
        <x:v>F1 Fantasy 2026 — Strategy, Risk &amp; Chip Experiment</x:v>
      </x:c>
      <x:c r="B1" s="4" t="str">
        <x:v>F1 Fantasy 2026 — Strategy, Risk &amp; Chip Experiment</x:v>
      </x:c>
      <x:c r="C1" s="4" t="str">
        <x:v>F1 Fantasy 2026 — Strategy, Risk &amp; Chip Experiment</x:v>
      </x:c>
      <x:c r="D1" s="4" t="str">
        <x:v>F1 Fantasy 2026 — Strategy, Risk &amp; Chip Experiment</x:v>
      </x:c>
      <x:c r="E1" s="4" t="str">
        <x:v>F1 Fantasy 2026 — Strategy, Risk &amp; Chip Experiment</x:v>
      </x:c>
      <x:c r="F1" s="4" t="str">
        <x:v>F1 Fantasy 2026 — Strategy, Risk &amp; Chip Experiment</x:v>
      </x:c>
      <x:c r="G1" s="4" t="str">
        <x:v>F1 Fantasy 2026 — Strategy, Risk &amp; Chip Experiment</x:v>
      </x:c>
      <x:c r="H1" s="4" t="str">
        <x:v>F1 Fantasy 2026 — Strategy, Risk &amp; Chip Experiment</x:v>
      </x:c>
      <x:c r="I1" s="4" t="str">
        <x:v>F1 Fantasy 2026 — Strategy, Risk &amp; Chip Experiment</x:v>
      </x:c>
      <x:c r="J1" s="4" t="str">
        <x:v>F1 Fantasy 2026 — Strategy, Risk &amp; Chip Experiment</x:v>
      </x:c>
      <x:c r="K1" s="4" t="str">
        <x:v>F1 Fantasy 2026 — Strategy, Risk &amp; Chip Experiment</x:v>
      </x:c>
      <x:c r="L1" s="4" t="str">
        <x:v>F1 Fantasy 2026 — Strategy, Risk &amp; Chip Experiment</x:v>
      </x:c>
      <x:c r="M1" s="4" t="str">
        <x:v>F1 Fantasy 2026 — Strategy, Risk &amp; Chip Experiment</x:v>
      </x:c>
      <x:c r="N1" s="4" t="str">
        <x:v>F1 Fantasy 2026 — Strategy, Risk &amp; Chip Experiment</x:v>
      </x:c>
      <x:c r="O1" s="4" t="str">
        <x:v>F1 Fantasy 2026 — Strategy, Risk &amp; Chip Experiment</x:v>
      </x:c>
      <x:c r="P1" s="4" t="str">
        <x:v>F1 Fantasy 2026 — Strategy, Risk &amp; Chip Experiment</x:v>
      </x:c>
      <x:c r="Q1" s="4" t="str">
        <x:v>F1 Fantasy 2026 — Strategy, Risk &amp; Chip Experiment</x:v>
      </x:c>
      <x:c r="R1" s="4" t="str">
        <x:v>F1 Fantasy 2026 — Strategy, Risk &amp; Chip Experiment</x:v>
      </x:c>
      <x:c r="S1" s="4" t="str">
        <x:v>F1 Fantasy 2026 — Strategy, Risk &amp; Chip Experiment</x:v>
      </x:c>
    </x:row>
    <x:row r="2" ht="34" customHeight="1">
      <x:c r="A2" s="13" t="str">
        <x:v>Twelve virtual managers: 3 selection strategies × 4 risk profiles. 3x Boost saved; all other chips use domain-informed pre-deadline timing.</x:v>
      </x:c>
      <x:c r="B2" s="14" t="str">
        <x:v>Twelve virtual managers: 3 selection strategies × 4 risk profiles. 3x Boost saved; all other chips use domain-informed pre-deadline timing.</x:v>
      </x:c>
      <x:c r="C2" s="14" t="str">
        <x:v>Twelve virtual managers: 3 selection strategies × 4 risk profiles. 3x Boost saved; all other chips use domain-informed pre-deadline timing.</x:v>
      </x:c>
      <x:c r="D2" s="14" t="str">
        <x:v>Twelve virtual managers: 3 selection strategies × 4 risk profiles. 3x Boost saved; all other chips use domain-informed pre-deadline timing.</x:v>
      </x:c>
      <x:c r="E2" s="14" t="str">
        <x:v>Twelve virtual managers: 3 selection strategies × 4 risk profiles. 3x Boost saved; all other chips use domain-informed pre-deadline timing.</x:v>
      </x:c>
      <x:c r="F2" s="14" t="str">
        <x:v>Twelve virtual managers: 3 selection strategies × 4 risk profiles. 3x Boost saved; all other chips use domain-informed pre-deadline timing.</x:v>
      </x:c>
      <x:c r="G2" s="14" t="str">
        <x:v>Twelve virtual managers: 3 selection strategies × 4 risk profiles. 3x Boost saved; all other chips use domain-informed pre-deadline timing.</x:v>
      </x:c>
      <x:c r="H2" s="14" t="str">
        <x:v>Twelve virtual managers: 3 selection strategies × 4 risk profiles. 3x Boost saved; all other chips use domain-informed pre-deadline timing.</x:v>
      </x:c>
      <x:c r="I2" s="14" t="str">
        <x:v>Twelve virtual managers: 3 selection strategies × 4 risk profiles. 3x Boost saved; all other chips use domain-informed pre-deadline timing.</x:v>
      </x:c>
      <x:c r="J2" s="14" t="str">
        <x:v>Twelve virtual managers: 3 selection strategies × 4 risk profiles. 3x Boost saved; all other chips use domain-informed pre-deadline timing.</x:v>
      </x:c>
      <x:c r="K2" s="14" t="str">
        <x:v>Twelve virtual managers: 3 selection strategies × 4 risk profiles. 3x Boost saved; all other chips use domain-informed pre-deadline timing.</x:v>
      </x:c>
      <x:c r="L2" s="14" t="str">
        <x:v>Twelve virtual managers: 3 selection strategies × 4 risk profiles. 3x Boost saved; all other chips use domain-informed pre-deadline timing.</x:v>
      </x:c>
      <x:c r="M2" s="14" t="str">
        <x:v>Twelve virtual managers: 3 selection strategies × 4 risk profiles. 3x Boost saved; all other chips use domain-informed pre-deadline timing.</x:v>
      </x:c>
      <x:c r="N2" s="14" t="str">
        <x:v>Twelve virtual managers: 3 selection strategies × 4 risk profiles. 3x Boost saved; all other chips use domain-informed pre-deadline timing.</x:v>
      </x:c>
      <x:c r="O2" s="14" t="str">
        <x:v>Twelve virtual managers: 3 selection strategies × 4 risk profiles. 3x Boost saved; all other chips use domain-informed pre-deadline timing.</x:v>
      </x:c>
      <x:c r="P2" s="14" t="str">
        <x:v>Twelve virtual managers: 3 selection strategies × 4 risk profiles. 3x Boost saved; all other chips use domain-informed pre-deadline timing.</x:v>
      </x:c>
      <x:c r="Q2" s="14" t="str">
        <x:v>Twelve virtual managers: 3 selection strategies × 4 risk profiles. 3x Boost saved; all other chips use domain-informed pre-deadline timing.</x:v>
      </x:c>
      <x:c r="R2" s="14" t="str">
        <x:v>Twelve virtual managers: 3 selection strategies × 4 risk profiles. 3x Boost saved; all other chips use domain-informed pre-deadline timing.</x:v>
      </x:c>
      <x:c r="S2" s="15" t="str">
        <x:v>Twelve virtual managers: 3 selection strategies × 4 risk profiles. 3x Boost saved; all other chips use domain-informed pre-deadline timing.</x:v>
      </x:c>
    </x:row>
    <x:row r="3">
      <x:c r="A3" s="19" t="str">
        <x:v>Highest full-season points</x:v>
      </x:c>
      <x:c r="B3" s="19" t="str">
        <x:v>Highest full-season points</x:v>
      </x:c>
      <x:c r="C3" s="19" t="str">
        <x:v>Highest full-season points</x:v>
      </x:c>
      <x:c r="D3" s="49" t="str">
        <x:v>Highest genuine-archive points</x:v>
      </x:c>
      <x:c r="E3" s="49" t="str">
        <x:v>Highest genuine-archive points</x:v>
      </x:c>
      <x:c r="F3" s="49" t="str">
        <x:v>Highest genuine-archive points</x:v>
      </x:c>
      <x:c r="G3" s="53" t="str">
        <x:v>Highest final budget</x:v>
      </x:c>
      <x:c r="H3" s="53" t="str">
        <x:v>Highest final budget</x:v>
      </x:c>
      <x:c r="I3" s="53" t="str">
        <x:v>Highest final budget</x:v>
      </x:c>
      <x:c r="J3" s="75" t="str">
        <x:v>Persistent transfers analysed</x:v>
      </x:c>
      <x:c r="K3" s="75" t="str">
        <x:v>Persistent transfers analysed</x:v>
      </x:c>
      <x:c r="L3" s="75" t="str">
        <x:v>Persistent transfers analysed</x:v>
      </x:c>
    </x:row>
    <x:row r="4">
      <x:c r="A4" s="40" t="n">
        <x:f>MAX(C9:C20)</x:f>
        <x:v>2537</x:v>
      </x:c>
      <x:c r="B4" s="41"/>
      <x:c r="C4" s="42"/>
      <x:c r="D4" s="40" t="n">
        <x:f>MAX(D9:D20)</x:f>
        <x:v>1720</x:v>
      </x:c>
      <x:c r="E4" s="41"/>
      <x:c r="F4" s="42"/>
      <x:c r="G4" s="66" t="n">
        <x:f>MAX(E9:E20)</x:f>
        <x:v>124.3</x:v>
      </x:c>
      <x:c r="H4" s="67"/>
      <x:c r="I4" s="68"/>
      <x:c r="J4" s="40" t="n">
        <x:f>SUM(I9:I20)</x:f>
        <x:v>214</x:v>
      </x:c>
      <x:c r="K4" s="41"/>
      <x:c r="L4" s="42"/>
    </x:row>
    <x:row r="5">
      <x:c r="A5" s="43"/>
      <x:c r="B5" s="44"/>
      <x:c r="C5" s="45"/>
      <x:c r="D5" s="43"/>
      <x:c r="E5" s="44"/>
      <x:c r="F5" s="45"/>
      <x:c r="G5" s="69"/>
      <x:c r="H5" s="70"/>
      <x:c r="I5" s="71"/>
      <x:c r="J5" s="43"/>
      <x:c r="K5" s="44"/>
      <x:c r="L5" s="45"/>
    </x:row>
    <x:row r="8" ht="30" customHeight="1">
      <x:c r="A8" s="81" t="str">
        <x:v>Manager</x:v>
      </x:c>
      <x:c r="B8" s="81" t="str">
        <x:v>Risk profile</x:v>
      </x:c>
      <x:c r="C8" s="81" t="str">
        <x:v>Full points</x:v>
      </x:c>
      <x:c r="D8" s="81" t="str">
        <x:v>Genuine points</x:v>
      </x:c>
      <x:c r="E8" s="81" t="str">
        <x:v>Final budget</x:v>
      </x:c>
      <x:c r="F8" s="81" t="str">
        <x:v>Budget gain</x:v>
      </x:c>
      <x:c r="G8" s="81" t="str">
        <x:v>Chip Δ full</x:v>
      </x:c>
      <x:c r="H8" s="81" t="str">
        <x:v>Chip Δ genuine</x:v>
      </x:c>
      <x:c r="I8" s="81" t="str">
        <x:v>Transfers</x:v>
      </x:c>
      <x:c r="J8" s="81" t="str">
        <x:v>Penalties</x:v>
      </x:c>
      <x:c r="K8" s="81" t="str">
        <x:v>Mean forecast P5 downside</x:v>
      </x:c>
      <x:c r="L8" s="81" t="str">
        <x:v>Realised negative points</x:v>
      </x:c>
      <x:c r="M8" s="81" t="str">
        <x:v>Worst round</x:v>
      </x:c>
      <x:c r="N8" s="81" t="str">
        <x:v>Genuine rank</x:v>
      </x:c>
      <x:c r="O8" s="81" t="str">
        <x:v>Limitless</x:v>
      </x:c>
      <x:c r="P8" s="81" t="str">
        <x:v>Wild Card</x:v>
      </x:c>
      <x:c r="Q8" s="81" t="str">
        <x:v>No Negative</x:v>
      </x:c>
      <x:c r="R8" s="81" t="str">
        <x:v>Autopilot</x:v>
      </x:c>
      <x:c r="S8" s="81" t="str">
        <x:v>3x Boost</x:v>
      </x:c>
      <x:c r="U8" s="81" t="str">
        <x:v>Approach</x:v>
      </x:c>
      <x:c r="V8" s="81" t="str">
        <x:v>Full points</x:v>
      </x:c>
      <x:c r="W8" s="81" t="str">
        <x:v>Genuine points</x:v>
      </x:c>
    </x:row>
    <x:row r="9">
      <x:c r="A9" s="93" t="str">
        <x:v>Max Points</x:v>
      </x:c>
      <x:c r="B9" s="93" t="str">
        <x:v>Total avoidance</x:v>
      </x:c>
      <x:c r="C9" s="94" t="n">
        <x:v>2245</x:v>
      </x:c>
      <x:c r="D9" s="94" t="n">
        <x:v>1587</x:v>
      </x:c>
      <x:c r="E9" s="95" t="n">
        <x:v>123.3</x:v>
      </x:c>
      <x:c r="F9" s="95" t="n">
        <x:f>E9-100</x:f>
        <x:v>23.299999999999997</x:v>
      </x:c>
      <x:c r="G9" s="96" t="n">
        <x:v>305</x:v>
      </x:c>
      <x:c r="H9" s="96" t="n">
        <x:v>305</x:v>
      </x:c>
      <x:c r="I9" s="94" t="n">
        <x:v>20</x:v>
      </x:c>
      <x:c r="J9" s="94" t="n">
        <x:v>60</x:v>
      </x:c>
      <x:c r="K9" s="97" t="n">
        <x:v>20.66</x:v>
      </x:c>
      <x:c r="L9" s="94" t="n">
        <x:v>-65</x:v>
      </x:c>
      <x:c r="M9" s="94" t="n">
        <x:v>117</x:v>
      </x:c>
      <x:c r="N9" s="98" t="n">
        <x:f>RANK(D9,$D$9:$D$20,0)</x:f>
        <x:v>9</x:v>
      </x:c>
      <x:c r="O9" s="99" t="n">
        <x:v>8</x:v>
      </x:c>
      <x:c r="P9" s="99" t="n">
        <x:v>7</x:v>
      </x:c>
      <x:c r="Q9" s="99" t="n">
        <x:v>10</x:v>
      </x:c>
      <x:c r="R9" s="99" t="n">
        <x:v>11</x:v>
      </x:c>
      <x:c r="S9" s="99" t="str">
        <x:v>Saved</x:v>
      </x:c>
      <x:c r="U9" t="str">
        <x:f>A9&amp;" / "&amp;B9</x:f>
        <x:v>Max Points / Total avoidance</x:v>
      </x:c>
      <x:c r="V9" s="82" t="n">
        <x:f>C9</x:f>
        <x:v>2245</x:v>
      </x:c>
      <x:c r="W9" s="82" t="n">
        <x:f>D9</x:f>
        <x:v>1587</x:v>
      </x:c>
    </x:row>
    <x:row r="10">
      <x:c r="A10" s="93" t="str">
        <x:v>Max Points</x:v>
      </x:c>
      <x:c r="B10" s="93" t="str">
        <x:v>Minimal risk accepted</x:v>
      </x:c>
      <x:c r="C10" s="94" t="n">
        <x:v>2431</x:v>
      </x:c>
      <x:c r="D10" s="94" t="n">
        <x:v>1659</x:v>
      </x:c>
      <x:c r="E10" s="95" t="n">
        <x:v>120.6</x:v>
      </x:c>
      <x:c r="F10" s="95" t="n">
        <x:f>E10-100</x:f>
        <x:v>20.599999999999994</x:v>
      </x:c>
      <x:c r="G10" s="96" t="n">
        <x:v>69</x:v>
      </x:c>
      <x:c r="H10" s="96" t="n">
        <x:v>69</x:v>
      </x:c>
      <x:c r="I10" s="94" t="n">
        <x:v>18</x:v>
      </x:c>
      <x:c r="J10" s="94" t="n">
        <x:v>20</x:v>
      </x:c>
      <x:c r="K10" s="97" t="n">
        <x:v>25.61</x:v>
      </x:c>
      <x:c r="L10" s="94" t="n">
        <x:v>-82</x:v>
      </x:c>
      <x:c r="M10" s="94" t="n">
        <x:v>151</x:v>
      </x:c>
      <x:c r="N10" s="98" t="n">
        <x:f>RANK(D10,$D$9:$D$20,0)</x:f>
        <x:v>7</x:v>
      </x:c>
      <x:c r="O10" s="99" t="n">
        <x:v>8</x:v>
      </x:c>
      <x:c r="P10" s="99" t="n">
        <x:v>12</x:v>
      </x:c>
      <x:c r="Q10" s="99" t="n">
        <x:v>10</x:v>
      </x:c>
      <x:c r="R10" s="99" t="n">
        <x:v>11</x:v>
      </x:c>
      <x:c r="S10" s="99" t="str">
        <x:v>Saved</x:v>
      </x:c>
      <x:c r="U10" t="str">
        <x:f>A10&amp;" / "&amp;B10</x:f>
        <x:v>Max Points / Minimal risk accepted</x:v>
      </x:c>
      <x:c r="V10" s="82" t="n">
        <x:f>C10</x:f>
        <x:v>2431</x:v>
      </x:c>
      <x:c r="W10" s="82" t="n">
        <x:f>D10</x:f>
        <x:v>1659</x:v>
      </x:c>
    </x:row>
    <x:row r="11">
      <x:c r="A11" s="93" t="str">
        <x:v>Max Points</x:v>
      </x:c>
      <x:c r="B11" s="93" t="str">
        <x:v>Medium tolerance</x:v>
      </x:c>
      <x:c r="C11" s="94" t="n">
        <x:v>2493</x:v>
      </x:c>
      <x:c r="D11" s="94" t="n">
        <x:v>1698</x:v>
      </x:c>
      <x:c r="E11" s="95" t="n">
        <x:v>116.6</x:v>
      </x:c>
      <x:c r="F11" s="95" t="n">
        <x:f>E11-100</x:f>
        <x:v>16.599999999999994</x:v>
      </x:c>
      <x:c r="G11" s="96" t="n">
        <x:v>135</x:v>
      </x:c>
      <x:c r="H11" s="96" t="n">
        <x:v>135</x:v>
      </x:c>
      <x:c r="I11" s="94" t="n">
        <x:v>14</x:v>
      </x:c>
      <x:c r="J11" s="94" t="n">
        <x:v>30</x:v>
      </x:c>
      <x:c r="K11" s="97" t="n">
        <x:v>32.09</x:v>
      </x:c>
      <x:c r="L11" s="94" t="n">
        <x:v>-101</x:v>
      </x:c>
      <x:c r="M11" s="94" t="n">
        <x:v>99</x:v>
      </x:c>
      <x:c r="N11" s="98" t="n">
        <x:f>RANK(D11,$D$9:$D$20,0)</x:f>
        <x:v>4</x:v>
      </x:c>
      <x:c r="O11" s="99" t="n">
        <x:v>8</x:v>
      </x:c>
      <x:c r="P11" s="99" t="str">
        <x:v>Saved</x:v>
      </x:c>
      <x:c r="Q11" s="99" t="n">
        <x:v>10</x:v>
      </x:c>
      <x:c r="R11" s="99" t="n">
        <x:v>12</x:v>
      </x:c>
      <x:c r="S11" s="99" t="str">
        <x:v>Saved</x:v>
      </x:c>
      <x:c r="U11" t="str">
        <x:f>A11&amp;" / "&amp;B11</x:f>
        <x:v>Max Points / Medium tolerance</x:v>
      </x:c>
      <x:c r="V11" s="82" t="n">
        <x:f>C11</x:f>
        <x:v>2493</x:v>
      </x:c>
      <x:c r="W11" s="82" t="n">
        <x:f>D11</x:f>
        <x:v>1698</x:v>
      </x:c>
    </x:row>
    <x:row r="12">
      <x:c r="A12" s="93" t="str">
        <x:v>Max Points</x:v>
      </x:c>
      <x:c r="B12" s="93" t="str">
        <x:v>Maximum tolerance</x:v>
      </x:c>
      <x:c r="C12" s="94" t="n">
        <x:v>2267</x:v>
      </x:c>
      <x:c r="D12" s="94" t="n">
        <x:v>1562</x:v>
      </x:c>
      <x:c r="E12" s="95" t="n">
        <x:v>107.8</x:v>
      </x:c>
      <x:c r="F12" s="95" t="n">
        <x:f>E12-100</x:f>
        <x:v>7.799999999999997</x:v>
      </x:c>
      <x:c r="G12" s="96" t="n">
        <x:v>-113</x:v>
      </x:c>
      <x:c r="H12" s="96" t="n">
        <x:v>-113</x:v>
      </x:c>
      <x:c r="I12" s="94" t="n">
        <x:v>17</x:v>
      </x:c>
      <x:c r="J12" s="94" t="n">
        <x:v>20</x:v>
      </x:c>
      <x:c r="K12" s="97" t="n">
        <x:v>48.76</x:v>
      </x:c>
      <x:c r="L12" s="94" t="n">
        <x:v>-185</x:v>
      </x:c>
      <x:c r="M12" s="94" t="n">
        <x:v>65</x:v>
      </x:c>
      <x:c r="N12" s="98" t="n">
        <x:f>RANK(D12,$D$9:$D$20,0)</x:f>
        <x:v>12</x:v>
      </x:c>
      <x:c r="O12" s="99" t="n">
        <x:v>8</x:v>
      </x:c>
      <x:c r="P12" s="99" t="n">
        <x:v>12</x:v>
      </x:c>
      <x:c r="Q12" s="99" t="n">
        <x:v>10</x:v>
      </x:c>
      <x:c r="R12" s="99" t="n">
        <x:v>11</x:v>
      </x:c>
      <x:c r="S12" s="99" t="str">
        <x:v>Saved</x:v>
      </x:c>
      <x:c r="U12" t="str">
        <x:f>A12&amp;" / "&amp;B12</x:f>
        <x:v>Max Points / Maximum tolerance</x:v>
      </x:c>
      <x:c r="V12" s="82" t="n">
        <x:f>C12</x:f>
        <x:v>2267</x:v>
      </x:c>
      <x:c r="W12" s="82" t="n">
        <x:f>D12</x:f>
        <x:v>1562</x:v>
      </x:c>
    </x:row>
    <x:row r="13">
      <x:c r="A13" s="93" t="str">
        <x:v>Balanced</x:v>
      </x:c>
      <x:c r="B13" s="93" t="str">
        <x:v>Total avoidance</x:v>
      </x:c>
      <x:c r="C13" s="94" t="n">
        <x:v>2245</x:v>
      </x:c>
      <x:c r="D13" s="94" t="n">
        <x:v>1587</x:v>
      </x:c>
      <x:c r="E13" s="95" t="n">
        <x:v>123.3</x:v>
      </x:c>
      <x:c r="F13" s="95" t="n">
        <x:f>E13-100</x:f>
        <x:v>23.299999999999997</x:v>
      </x:c>
      <x:c r="G13" s="96" t="n">
        <x:v>213</x:v>
      </x:c>
      <x:c r="H13" s="96" t="n">
        <x:v>213</x:v>
      </x:c>
      <x:c r="I13" s="94" t="n">
        <x:v>20</x:v>
      </x:c>
      <x:c r="J13" s="94" t="n">
        <x:v>60</x:v>
      </x:c>
      <x:c r="K13" s="97" t="n">
        <x:v>20.66</x:v>
      </x:c>
      <x:c r="L13" s="94" t="n">
        <x:v>-65</x:v>
      </x:c>
      <x:c r="M13" s="94" t="n">
        <x:v>117</x:v>
      </x:c>
      <x:c r="N13" s="98" t="n">
        <x:f>RANK(D13,$D$9:$D$20,0)</x:f>
        <x:v>9</x:v>
      </x:c>
      <x:c r="O13" s="99" t="n">
        <x:v>8</x:v>
      </x:c>
      <x:c r="P13" s="99" t="n">
        <x:v>7</x:v>
      </x:c>
      <x:c r="Q13" s="99" t="n">
        <x:v>10</x:v>
      </x:c>
      <x:c r="R13" s="99" t="n">
        <x:v>11</x:v>
      </x:c>
      <x:c r="S13" s="99" t="str">
        <x:v>Saved</x:v>
      </x:c>
      <x:c r="U13" t="str">
        <x:f>A13&amp;" / "&amp;B13</x:f>
        <x:v>Balanced / Total avoidance</x:v>
      </x:c>
      <x:c r="V13" s="82" t="n">
        <x:f>C13</x:f>
        <x:v>2245</x:v>
      </x:c>
      <x:c r="W13" s="82" t="n">
        <x:f>D13</x:f>
        <x:v>1587</x:v>
      </x:c>
    </x:row>
    <x:row r="14">
      <x:c r="A14" s="93" t="str">
        <x:v>Balanced</x:v>
      </x:c>
      <x:c r="B14" s="93" t="str">
        <x:v>Minimal risk accepted</x:v>
      </x:c>
      <x:c r="C14" s="94" t="n">
        <x:v>2443</x:v>
      </x:c>
      <x:c r="D14" s="94" t="n">
        <x:v>1671</x:v>
      </x:c>
      <x:c r="E14" s="95" t="n">
        <x:v>121</x:v>
      </x:c>
      <x:c r="F14" s="95" t="n">
        <x:f>E14-100</x:f>
        <x:v>21</x:v>
      </x:c>
      <x:c r="G14" s="96" t="n">
        <x:v>159</x:v>
      </x:c>
      <x:c r="H14" s="96" t="n">
        <x:v>159</x:v>
      </x:c>
      <x:c r="I14" s="94" t="n">
        <x:v>17</x:v>
      </x:c>
      <x:c r="J14" s="94" t="n">
        <x:v>20</x:v>
      </x:c>
      <x:c r="K14" s="97" t="n">
        <x:v>25.67</x:v>
      </x:c>
      <x:c r="L14" s="94" t="n">
        <x:v>-82</x:v>
      </x:c>
      <x:c r="M14" s="94" t="n">
        <x:v>151</x:v>
      </x:c>
      <x:c r="N14" s="98" t="n">
        <x:f>RANK(D14,$D$9:$D$20,0)</x:f>
        <x:v>5</x:v>
      </x:c>
      <x:c r="O14" s="99" t="n">
        <x:v>8</x:v>
      </x:c>
      <x:c r="P14" s="99" t="n">
        <x:v>12</x:v>
      </x:c>
      <x:c r="Q14" s="99" t="n">
        <x:v>10</x:v>
      </x:c>
      <x:c r="R14" s="99" t="n">
        <x:v>11</x:v>
      </x:c>
      <x:c r="S14" s="99" t="str">
        <x:v>Saved</x:v>
      </x:c>
      <x:c r="U14" t="str">
        <x:f>A14&amp;" / "&amp;B14</x:f>
        <x:v>Balanced / Minimal risk accepted</x:v>
      </x:c>
      <x:c r="V14" s="82" t="n">
        <x:f>C14</x:f>
        <x:v>2443</x:v>
      </x:c>
      <x:c r="W14" s="82" t="n">
        <x:f>D14</x:f>
        <x:v>1671</x:v>
      </x:c>
    </x:row>
    <x:row r="15">
      <x:c r="A15" s="93" t="str">
        <x:v>Balanced</x:v>
      </x:c>
      <x:c r="B15" s="93" t="str">
        <x:v>Medium tolerance</x:v>
      </x:c>
      <x:c r="C15" s="94" t="n">
        <x:v>2502</x:v>
      </x:c>
      <x:c r="D15" s="94" t="n">
        <x:v>1707</x:v>
      </x:c>
      <x:c r="E15" s="95" t="n">
        <x:v>118.9</x:v>
      </x:c>
      <x:c r="F15" s="95" t="n">
        <x:f>E15-100</x:f>
        <x:v>18.900000000000006</x:v>
      </x:c>
      <x:c r="G15" s="96" t="n">
        <x:v>69</x:v>
      </x:c>
      <x:c r="H15" s="96" t="n">
        <x:v>69</x:v>
      </x:c>
      <x:c r="I15" s="94" t="n">
        <x:v>16</x:v>
      </x:c>
      <x:c r="J15" s="94" t="n">
        <x:v>10</x:v>
      </x:c>
      <x:c r="K15" s="97" t="n">
        <x:v>29.83</x:v>
      </x:c>
      <x:c r="L15" s="94" t="n">
        <x:v>-113</x:v>
      </x:c>
      <x:c r="M15" s="94" t="n">
        <x:v>101</x:v>
      </x:c>
      <x:c r="N15" s="98" t="n">
        <x:f>RANK(D15,$D$9:$D$20,0)</x:f>
        <x:v>3</x:v>
      </x:c>
      <x:c r="O15" s="99" t="n">
        <x:v>8</x:v>
      </x:c>
      <x:c r="P15" s="99" t="n">
        <x:v>12</x:v>
      </x:c>
      <x:c r="Q15" s="99" t="n">
        <x:v>10</x:v>
      </x:c>
      <x:c r="R15" s="99" t="n">
        <x:v>11</x:v>
      </x:c>
      <x:c r="S15" s="99" t="str">
        <x:v>Saved</x:v>
      </x:c>
      <x:c r="U15" t="str">
        <x:f>A15&amp;" / "&amp;B15</x:f>
        <x:v>Balanced / Medium tolerance</x:v>
      </x:c>
      <x:c r="V15" s="82" t="n">
        <x:f>C15</x:f>
        <x:v>2502</x:v>
      </x:c>
      <x:c r="W15" s="82" t="n">
        <x:f>D15</x:f>
        <x:v>1707</x:v>
      </x:c>
    </x:row>
    <x:row r="16">
      <x:c r="A16" s="93" t="str">
        <x:v>Balanced</x:v>
      </x:c>
      <x:c r="B16" s="93" t="str">
        <x:v>Maximum tolerance</x:v>
      </x:c>
      <x:c r="C16" s="94" t="n">
        <x:v>2438</x:v>
      </x:c>
      <x:c r="D16" s="94" t="n">
        <x:v>1719</x:v>
      </x:c>
      <x:c r="E16" s="95" t="n">
        <x:v>117.7</x:v>
      </x:c>
      <x:c r="F16" s="95" t="n">
        <x:f>E16-100</x:f>
        <x:v>17.700000000000003</x:v>
      </x:c>
      <x:c r="G16" s="96" t="n">
        <x:v>-57</x:v>
      </x:c>
      <x:c r="H16" s="96" t="n">
        <x:v>-57</x:v>
      </x:c>
      <x:c r="I16" s="94" t="n">
        <x:v>18</x:v>
      </x:c>
      <x:c r="J16" s="94" t="n">
        <x:v>30</x:v>
      </x:c>
      <x:c r="K16" s="97" t="n">
        <x:v>38.59</x:v>
      </x:c>
      <x:c r="L16" s="94" t="n">
        <x:v>-120</x:v>
      </x:c>
      <x:c r="M16" s="94" t="n">
        <x:v>108</x:v>
      </x:c>
      <x:c r="N16" s="98" t="n">
        <x:f>RANK(D16,$D$9:$D$20,0)</x:f>
        <x:v>2</x:v>
      </x:c>
      <x:c r="O16" s="99" t="n">
        <x:v>8</x:v>
      </x:c>
      <x:c r="P16" s="99" t="n">
        <x:v>7</x:v>
      </x:c>
      <x:c r="Q16" s="99" t="n">
        <x:v>10</x:v>
      </x:c>
      <x:c r="R16" s="99" t="n">
        <x:v>12</x:v>
      </x:c>
      <x:c r="S16" s="99" t="str">
        <x:v>Saved</x:v>
      </x:c>
      <x:c r="U16" t="str">
        <x:f>A16&amp;" / "&amp;B16</x:f>
        <x:v>Balanced / Maximum tolerance</x:v>
      </x:c>
      <x:c r="V16" s="82" t="n">
        <x:f>C16</x:f>
        <x:v>2438</x:v>
      </x:c>
      <x:c r="W16" s="82" t="n">
        <x:f>D16</x:f>
        <x:v>1719</x:v>
      </x:c>
    </x:row>
    <x:row r="17">
      <x:c r="A17" s="93" t="str">
        <x:v>Budget Builder</x:v>
      </x:c>
      <x:c r="B17" s="93" t="str">
        <x:v>Total avoidance</x:v>
      </x:c>
      <x:c r="C17" s="94" t="n">
        <x:v>2245</x:v>
      </x:c>
      <x:c r="D17" s="94" t="n">
        <x:v>1587</x:v>
      </x:c>
      <x:c r="E17" s="95" t="n">
        <x:v>123.3</x:v>
      </x:c>
      <x:c r="F17" s="95" t="n">
        <x:f>E17-100</x:f>
        <x:v>23.299999999999997</x:v>
      </x:c>
      <x:c r="G17" s="96" t="n">
        <x:v>213</x:v>
      </x:c>
      <x:c r="H17" s="96" t="n">
        <x:v>213</x:v>
      </x:c>
      <x:c r="I17" s="94" t="n">
        <x:v>20</x:v>
      </x:c>
      <x:c r="J17" s="94" t="n">
        <x:v>60</x:v>
      </x:c>
      <x:c r="K17" s="97" t="n">
        <x:v>20.66</x:v>
      </x:c>
      <x:c r="L17" s="94" t="n">
        <x:v>-65</x:v>
      </x:c>
      <x:c r="M17" s="94" t="n">
        <x:v>117</x:v>
      </x:c>
      <x:c r="N17" s="98" t="n">
        <x:f>RANK(D17,$D$9:$D$20,0)</x:f>
        <x:v>9</x:v>
      </x:c>
      <x:c r="O17" s="99" t="n">
        <x:v>8</x:v>
      </x:c>
      <x:c r="P17" s="99" t="n">
        <x:v>7</x:v>
      </x:c>
      <x:c r="Q17" s="99" t="n">
        <x:v>10</x:v>
      </x:c>
      <x:c r="R17" s="99" t="n">
        <x:v>11</x:v>
      </x:c>
      <x:c r="S17" s="99" t="str">
        <x:v>Saved</x:v>
      </x:c>
      <x:c r="U17" t="str">
        <x:f>A17&amp;" / "&amp;B17</x:f>
        <x:v>Budget Builder / Total avoidance</x:v>
      </x:c>
      <x:c r="V17" s="82" t="n">
        <x:f>C17</x:f>
        <x:v>2245</x:v>
      </x:c>
      <x:c r="W17" s="82" t="n">
        <x:f>D17</x:f>
        <x:v>1587</x:v>
      </x:c>
    </x:row>
    <x:row r="18">
      <x:c r="A18" s="93" t="str">
        <x:v>Budget Builder</x:v>
      </x:c>
      <x:c r="B18" s="93" t="str">
        <x:v>Minimal risk accepted</x:v>
      </x:c>
      <x:c r="C18" s="94" t="n">
        <x:v>2387</x:v>
      </x:c>
      <x:c r="D18" s="94" t="n">
        <x:v>1647</x:v>
      </x:c>
      <x:c r="E18" s="95" t="n">
        <x:v>124.3</x:v>
      </x:c>
      <x:c r="F18" s="95" t="n">
        <x:f>E18-100</x:f>
        <x:v>24.299999999999997</x:v>
      </x:c>
      <x:c r="G18" s="96" t="n">
        <x:v>-33</x:v>
      </x:c>
      <x:c r="H18" s="96" t="n">
        <x:v>-33</x:v>
      </x:c>
      <x:c r="I18" s="94" t="n">
        <x:v>19</x:v>
      </x:c>
      <x:c r="J18" s="94" t="n">
        <x:v>40</x:v>
      </x:c>
      <x:c r="K18" s="97" t="n">
        <x:v>24.1</x:v>
      </x:c>
      <x:c r="L18" s="94" t="n">
        <x:v>-88</x:v>
      </x:c>
      <x:c r="M18" s="94" t="n">
        <x:v>156</x:v>
      </x:c>
      <x:c r="N18" s="98" t="n">
        <x:f>RANK(D18,$D$9:$D$20,0)</x:f>
        <x:v>8</x:v>
      </x:c>
      <x:c r="O18" s="99" t="n">
        <x:v>8</x:v>
      </x:c>
      <x:c r="P18" s="99" t="n">
        <x:v>6</x:v>
      </x:c>
      <x:c r="Q18" s="99" t="n">
        <x:v>10</x:v>
      </x:c>
      <x:c r="R18" s="99" t="n">
        <x:v>12</x:v>
      </x:c>
      <x:c r="S18" s="99" t="str">
        <x:v>Saved</x:v>
      </x:c>
      <x:c r="U18" t="str">
        <x:f>A18&amp;" / "&amp;B18</x:f>
        <x:v>Budget Builder / Minimal risk accepted</x:v>
      </x:c>
      <x:c r="V18" s="82" t="n">
        <x:f>C18</x:f>
        <x:v>2387</x:v>
      </x:c>
      <x:c r="W18" s="82" t="n">
        <x:f>D18</x:f>
        <x:v>1647</x:v>
      </x:c>
    </x:row>
    <x:row r="19">
      <x:c r="A19" s="93" t="str">
        <x:v>Budget Builder</x:v>
      </x:c>
      <x:c r="B19" s="93" t="str">
        <x:v>Medium tolerance</x:v>
      </x:c>
      <x:c r="C19" s="94" t="n">
        <x:v>2537</x:v>
      </x:c>
      <x:c r="D19" s="94" t="n">
        <x:v>1720</x:v>
      </x:c>
      <x:c r="E19" s="95" t="n">
        <x:v>124.3</x:v>
      </x:c>
      <x:c r="F19" s="95" t="n">
        <x:f>E19-100</x:f>
        <x:v>24.299999999999997</x:v>
      </x:c>
      <x:c r="G19" s="96" t="n">
        <x:v>73</x:v>
      </x:c>
      <x:c r="H19" s="96" t="n">
        <x:v>73</x:v>
      </x:c>
      <x:c r="I19" s="94" t="n">
        <x:v>17</x:v>
      </x:c>
      <x:c r="J19" s="94" t="n">
        <x:v>20</x:v>
      </x:c>
      <x:c r="K19" s="97" t="n">
        <x:v>27</x:v>
      </x:c>
      <x:c r="L19" s="94" t="n">
        <x:v>-75</x:v>
      </x:c>
      <x:c r="M19" s="94" t="n">
        <x:v>156</x:v>
      </x:c>
      <x:c r="N19" s="98" t="n">
        <x:f>RANK(D19,$D$9:$D$20,0)</x:f>
        <x:v>1</x:v>
      </x:c>
      <x:c r="O19" s="99" t="n">
        <x:v>8</x:v>
      </x:c>
      <x:c r="P19" s="99" t="n">
        <x:v>6</x:v>
      </x:c>
      <x:c r="Q19" s="99" t="n">
        <x:v>10</x:v>
      </x:c>
      <x:c r="R19" s="99" t="n">
        <x:v>12</x:v>
      </x:c>
      <x:c r="S19" s="99" t="str">
        <x:v>Saved</x:v>
      </x:c>
      <x:c r="U19" t="str">
        <x:f>A19&amp;" / "&amp;B19</x:f>
        <x:v>Budget Builder / Medium tolerance</x:v>
      </x:c>
      <x:c r="V19" s="82" t="n">
        <x:f>C19</x:f>
        <x:v>2537</x:v>
      </x:c>
      <x:c r="W19" s="82" t="n">
        <x:f>D19</x:f>
        <x:v>1720</x:v>
      </x:c>
    </x:row>
    <x:row r="20">
      <x:c r="A20" s="93" t="str">
        <x:v>Budget Builder</x:v>
      </x:c>
      <x:c r="B20" s="93" t="str">
        <x:v>Maximum tolerance</x:v>
      </x:c>
      <x:c r="C20" s="94" t="n">
        <x:v>2449</x:v>
      </x:c>
      <x:c r="D20" s="94" t="n">
        <x:v>1667</x:v>
      </x:c>
      <x:c r="E20" s="95" t="n">
        <x:v>120.3</x:v>
      </x:c>
      <x:c r="F20" s="95" t="n">
        <x:f>E20-100</x:f>
        <x:v>20.299999999999997</x:v>
      </x:c>
      <x:c r="G20" s="96" t="n">
        <x:v>86</x:v>
      </x:c>
      <x:c r="H20" s="96" t="n">
        <x:v>86</x:v>
      </x:c>
      <x:c r="I20" s="94" t="n">
        <x:v>18</x:v>
      </x:c>
      <x:c r="J20" s="94" t="n">
        <x:v>30</x:v>
      </x:c>
      <x:c r="K20" s="97" t="n">
        <x:v>38.15</x:v>
      </x:c>
      <x:c r="L20" s="94" t="n">
        <x:v>-132</x:v>
      </x:c>
      <x:c r="M20" s="94" t="n">
        <x:v>118</x:v>
      </x:c>
      <x:c r="N20" s="98" t="n">
        <x:f>RANK(D20,$D$9:$D$20,0)</x:f>
        <x:v>6</x:v>
      </x:c>
      <x:c r="O20" s="99" t="n">
        <x:v>8</x:v>
      </x:c>
      <x:c r="P20" s="99" t="n">
        <x:v>6</x:v>
      </x:c>
      <x:c r="Q20" s="99" t="n">
        <x:v>10</x:v>
      </x:c>
      <x:c r="R20" s="99" t="n">
        <x:v>12</x:v>
      </x:c>
      <x:c r="S20" s="99" t="str">
        <x:v>Saved</x:v>
      </x:c>
      <x:c r="U20" t="str">
        <x:f>A20&amp;" / "&amp;B20</x:f>
        <x:v>Budget Builder / Maximum tolerance</x:v>
      </x:c>
      <x:c r="V20" s="82" t="n">
        <x:f>C20</x:f>
        <x:v>2449</x:v>
      </x:c>
      <x:c r="W20" s="82" t="n">
        <x:f>D20</x:f>
        <x:v>1667</x:v>
      </x:c>
    </x:row>
  </x:sheetData>
  <x:mergeCells>
    <x:mergeCell ref="A1:S1"/>
    <x:mergeCell ref="A2:S2"/>
    <x:mergeCell ref="A3:C3"/>
    <x:mergeCell ref="A4:C5"/>
    <x:mergeCell ref="D3:F3"/>
    <x:mergeCell ref="D4:F5"/>
    <x:mergeCell ref="G3:I3"/>
    <x:mergeCell ref="G4:I5"/>
    <x:mergeCell ref="J3:L3"/>
    <x:mergeCell ref="J4:L5"/>
  </x:mergeCells>
  <x:conditionalFormatting sqref="D9:D20">
    <x:cfRule type="colorScale" priority="1">
      <x:colorScale>
        <x:cfvo type="min"/>
        <x:cfvo type="percentile" val="50"/>
        <x:cfvo type="max"/>
        <x:color rgb="FFFBE2E0"/>
        <x:color rgb="FFFFF4CC"/>
        <x:color rgb="FFDDF4E4"/>
      </x:colorScale>
    </x:cfRule>
  </x:conditionalFormatting>
  <x:conditionalFormatting sqref="E9:E20">
    <x:cfRule type="dataBar" priority="2">
      <x:dataBar>
        <x:cfvo type="min"/>
        <x:cfvo type="max"/>
        <x:color rgb="FFD6A521"/>
      </x:dataBar>
      <x:extLst>
        <x:ext xmlns:x14="http://schemas.microsoft.com/office/spreadsheetml/2009/9/main" uri="{B025F937-C7B1-47D3-B67F-A62EFF666E3E}">
          <x14:id>{74327466-E964-C229-8BA0-2CF9360A3A34}</x14:id>
        </x:ext>
      </x:extLst>
    </x:cfRule>
  </x:conditionalFormatting>
  <x:conditionalFormatting sqref="G9:H20">
    <x:cfRule type="cellIs" dxfId="0" priority="3" operator="lessThan">
      <x:formula>0</x:formula>
    </x:cfRule>
    <x:cfRule type="cellIs" dxfId="1" priority="4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1184de3ffec4412"/>
  <x:tableParts count="1">
    <x:tablePart xmlns:r="http://schemas.openxmlformats.org/officeDocument/2006/relationships" r:id="Rc376345466dd422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4327466-E964-C229-8BA0-2CF9360A3A34}">
            <x14:dataBar gradient="1">
              <x14:cfvo type="min"/>
              <x14:cfvo type="max"/>
              <x14:fillColor rgb="FFD6A521"/>
            </x14:dataBar>
          </x14:cfRule>
          <xm:sqref>E9:E20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2" hidden="0" customWidth="1"/>
    <x:col min="4" max="4" width="12" hidden="0" customWidth="1"/>
    <x:col min="5" max="5" width="12" hidden="0" customWidth="1"/>
    <x:col min="6" max="6" width="27" hidden="0" customWidth="1"/>
    <x:col min="7" max="7" width="20" hidden="0" customWidth="1"/>
    <x:col min="8" max="8" width="27" hidden="0" customWidth="1"/>
    <x:col min="9" max="9" width="20" hidden="0" customWidth="1"/>
    <x:col min="10" max="10" width="27" hidden="0" customWidth="1"/>
    <x:col min="11" max="11" width="20" hidden="0" customWidth="1"/>
    <x:col min="12" max="12" width="27" hidden="0" customWidth="1"/>
    <x:col min="13" max="13" width="20" hidden="0" customWidth="1"/>
    <x:col min="14" max="14" width="27" hidden="0" customWidth="1"/>
    <x:col min="15" max="15" width="20" hidden="0" customWidth="1"/>
    <x:col min="16" max="16" width="27" hidden="0" customWidth="1"/>
    <x:col min="17" max="17" width="20" hidden="0" customWidth="1"/>
    <x:col min="18" max="18" width="27" hidden="0" customWidth="1"/>
    <x:col min="19" max="19" width="20" hidden="0" customWidth="1"/>
    <x:col min="20" max="20" width="27" hidden="0" customWidth="1"/>
    <x:col min="21" max="21" width="20" hidden="0" customWidth="1"/>
    <x:col min="22" max="22" width="27" hidden="0" customWidth="1"/>
    <x:col min="23" max="23" width="20" hidden="0" customWidth="1"/>
    <x:col min="24" max="24" width="27" hidden="0" customWidth="1"/>
    <x:col min="25" max="25" width="20" hidden="0" customWidth="1"/>
    <x:col min="26" max="26" width="27" hidden="0" customWidth="1"/>
    <x:col min="27" max="27" width="20" hidden="0" customWidth="1"/>
  </x:cols>
  <x:sheetData>
    <x:row r="1" ht="30" customHeight="1">
      <x:c r="A1" s="4" t="str">
        <x:v>All teams by manager, risk profile and weekend</x:v>
      </x:c>
      <x:c r="B1" s="4" t="str">
        <x:v>All teams by manager, risk profile and weekend</x:v>
      </x:c>
      <x:c r="C1" s="4" t="str">
        <x:v>All teams by manager, risk profile and weekend</x:v>
      </x:c>
      <x:c r="D1" s="4" t="str">
        <x:v>All teams by manager, risk profile and weekend</x:v>
      </x:c>
      <x:c r="E1" s="4" t="str">
        <x:v>All teams by manager, risk profile and weekend</x:v>
      </x:c>
      <x:c r="F1" s="4" t="str">
        <x:v>All teams by manager, risk profile and weekend</x:v>
      </x:c>
      <x:c r="G1" s="4" t="str">
        <x:v>All teams by manager, risk profile and weekend</x:v>
      </x:c>
      <x:c r="H1" s="4" t="str">
        <x:v>All teams by manager, risk profile and weekend</x:v>
      </x:c>
      <x:c r="I1" s="4" t="str">
        <x:v>All teams by manager, risk profile and weekend</x:v>
      </x:c>
      <x:c r="J1" s="4" t="str">
        <x:v>All teams by manager, risk profile and weekend</x:v>
      </x:c>
      <x:c r="K1" s="4" t="str">
        <x:v>All teams by manager, risk profile and weekend</x:v>
      </x:c>
      <x:c r="L1" s="4" t="str">
        <x:v>All teams by manager, risk profile and weekend</x:v>
      </x:c>
      <x:c r="M1" s="4" t="str">
        <x:v>All teams by manager, risk profile and weekend</x:v>
      </x:c>
      <x:c r="N1" s="4" t="str">
        <x:v>All teams by manager, risk profile and weekend</x:v>
      </x:c>
      <x:c r="O1" s="4" t="str">
        <x:v>All teams by manager, risk profile and weekend</x:v>
      </x:c>
      <x:c r="P1" s="4" t="str">
        <x:v>All teams by manager, risk profile and weekend</x:v>
      </x:c>
      <x:c r="Q1" s="4" t="str">
        <x:v>All teams by manager, risk profile and weekend</x:v>
      </x:c>
      <x:c r="R1" s="4" t="str">
        <x:v>All teams by manager, risk profile and weekend</x:v>
      </x:c>
      <x:c r="S1" s="4" t="str">
        <x:v>All teams by manager, risk profile and weekend</x:v>
      </x:c>
      <x:c r="T1" s="4" t="str">
        <x:v>All teams by manager, risk profile and weekend</x:v>
      </x:c>
      <x:c r="U1" s="4" t="str">
        <x:v>All teams by manager, risk profile and weekend</x:v>
      </x:c>
      <x:c r="V1" s="4" t="str">
        <x:v>All teams by manager, risk profile and weekend</x:v>
      </x:c>
      <x:c r="W1" s="4" t="str">
        <x:v>All teams by manager, risk profile and weekend</x:v>
      </x:c>
      <x:c r="X1" s="4" t="str">
        <x:v>All teams by manager, risk profile and weekend</x:v>
      </x:c>
      <x:c r="Y1" s="4" t="str">
        <x:v>All teams by manager, risk profile and weekend</x:v>
      </x:c>
      <x:c r="Z1" s="4" t="str">
        <x:v>All teams by manager, risk profile and weekend</x:v>
      </x:c>
      <x:c r="AA1" s="4" t="str">
        <x:v>All teams by manager, risk profile and weekend</x:v>
      </x:c>
    </x:row>
    <x:row r="2">
      <x:c r="A2" s="13" t="str">
        <x:v>Driver and constructor cells show the played lineup. Limitless rounds are temporary; owned teams revert afterward.</x:v>
      </x:c>
      <x:c r="B2" s="14" t="str">
        <x:v>Driver and constructor cells show the played lineup. Limitless rounds are temporary; owned teams revert afterward.</x:v>
      </x:c>
      <x:c r="C2" s="14" t="str">
        <x:v>Driver and constructor cells show the played lineup. Limitless rounds are temporary; owned teams revert afterward.</x:v>
      </x:c>
      <x:c r="D2" s="14" t="str">
        <x:v>Driver and constructor cells show the played lineup. Limitless rounds are temporary; owned teams revert afterward.</x:v>
      </x:c>
      <x:c r="E2" s="14" t="str">
        <x:v>Driver and constructor cells show the played lineup. Limitless rounds are temporary; owned teams revert afterward.</x:v>
      </x:c>
      <x:c r="F2" s="14" t="str">
        <x:v>Driver and constructor cells show the played lineup. Limitless rounds are temporary; owned teams revert afterward.</x:v>
      </x:c>
      <x:c r="G2" s="14" t="str">
        <x:v>Driver and constructor cells show the played lineup. Limitless rounds are temporary; owned teams revert afterward.</x:v>
      </x:c>
      <x:c r="H2" s="14" t="str">
        <x:v>Driver and constructor cells show the played lineup. Limitless rounds are temporary; owned teams revert afterward.</x:v>
      </x:c>
      <x:c r="I2" s="14" t="str">
        <x:v>Driver and constructor cells show the played lineup. Limitless rounds are temporary; owned teams revert afterward.</x:v>
      </x:c>
      <x:c r="J2" s="14" t="str">
        <x:v>Driver and constructor cells show the played lineup. Limitless rounds are temporary; owned teams revert afterward.</x:v>
      </x:c>
      <x:c r="K2" s="14" t="str">
        <x:v>Driver and constructor cells show the played lineup. Limitless rounds are temporary; owned teams revert afterward.</x:v>
      </x:c>
      <x:c r="L2" s="14" t="str">
        <x:v>Driver and constructor cells show the played lineup. Limitless rounds are temporary; owned teams revert afterward.</x:v>
      </x:c>
      <x:c r="M2" s="14" t="str">
        <x:v>Driver and constructor cells show the played lineup. Limitless rounds are temporary; owned teams revert afterward.</x:v>
      </x:c>
      <x:c r="N2" s="14" t="str">
        <x:v>Driver and constructor cells show the played lineup. Limitless rounds are temporary; owned teams revert afterward.</x:v>
      </x:c>
      <x:c r="O2" s="14" t="str">
        <x:v>Driver and constructor cells show the played lineup. Limitless rounds are temporary; owned teams revert afterward.</x:v>
      </x:c>
      <x:c r="P2" s="14" t="str">
        <x:v>Driver and constructor cells show the played lineup. Limitless rounds are temporary; owned teams revert afterward.</x:v>
      </x:c>
      <x:c r="Q2" s="14" t="str">
        <x:v>Driver and constructor cells show the played lineup. Limitless rounds are temporary; owned teams revert afterward.</x:v>
      </x:c>
      <x:c r="R2" s="14" t="str">
        <x:v>Driver and constructor cells show the played lineup. Limitless rounds are temporary; owned teams revert afterward.</x:v>
      </x:c>
      <x:c r="S2" s="14" t="str">
        <x:v>Driver and constructor cells show the played lineup. Limitless rounds are temporary; owned teams revert afterward.</x:v>
      </x:c>
      <x:c r="T2" s="14" t="str">
        <x:v>Driver and constructor cells show the played lineup. Limitless rounds are temporary; owned teams revert afterward.</x:v>
      </x:c>
      <x:c r="U2" s="14" t="str">
        <x:v>Driver and constructor cells show the played lineup. Limitless rounds are temporary; owned teams revert afterward.</x:v>
      </x:c>
      <x:c r="V2" s="14" t="str">
        <x:v>Driver and constructor cells show the played lineup. Limitless rounds are temporary; owned teams revert afterward.</x:v>
      </x:c>
      <x:c r="W2" s="14" t="str">
        <x:v>Driver and constructor cells show the played lineup. Limitless rounds are temporary; owned teams revert afterward.</x:v>
      </x:c>
      <x:c r="X2" s="14" t="str">
        <x:v>Driver and constructor cells show the played lineup. Limitless rounds are temporary; owned teams revert afterward.</x:v>
      </x:c>
      <x:c r="Y2" s="14" t="str">
        <x:v>Driver and constructor cells show the played lineup. Limitless rounds are temporary; owned teams revert afterward.</x:v>
      </x:c>
      <x:c r="Z2" s="14" t="str">
        <x:v>Driver and constructor cells show the played lineup. Limitless rounds are temporary; owned teams revert afterward.</x:v>
      </x:c>
      <x:c r="AA2" s="15" t="str">
        <x:v>Driver and constructor cells show the played lineup. Limitless rounds are temporary; owned teams revert afterward.</x:v>
      </x:c>
    </x:row>
    <x:row r="3" ht="30" customHeight="1">
      <x:c r="A3" s="81" t="str">
        <x:v>Manager</x:v>
      </x:c>
      <x:c r="B3" s="81" t="str">
        <x:v>Risk profile</x:v>
      </x:c>
      <x:c r="C3" s="81" t="str">
        <x:v>Full pts</x:v>
      </x:c>
      <x:c r="D3" s="81" t="str">
        <x:v>Genuine pts</x:v>
      </x:c>
      <x:c r="E3" s="81" t="str">
        <x:v>Final budget</x:v>
      </x:c>
      <x:c r="F3" s="81" t="str">
        <x:v>R1 drivers</x:v>
      </x:c>
      <x:c r="G3" s="81" t="str">
        <x:v>R1 constructors</x:v>
      </x:c>
      <x:c r="H3" s="81" t="str">
        <x:v>R2 drivers</x:v>
      </x:c>
      <x:c r="I3" s="81" t="str">
        <x:v>R2 constructors</x:v>
      </x:c>
      <x:c r="J3" s="81" t="str">
        <x:v>R3 drivers</x:v>
      </x:c>
      <x:c r="K3" s="81" t="str">
        <x:v>R3 constructors</x:v>
      </x:c>
      <x:c r="L3" s="81" t="str">
        <x:v>R6 drivers</x:v>
      </x:c>
      <x:c r="M3" s="81" t="str">
        <x:v>R6 constructors</x:v>
      </x:c>
      <x:c r="N3" s="81" t="str">
        <x:v>R7 drivers</x:v>
      </x:c>
      <x:c r="O3" s="81" t="str">
        <x:v>R7 constructors</x:v>
      </x:c>
      <x:c r="P3" s="81" t="str">
        <x:v>R8 drivers</x:v>
      </x:c>
      <x:c r="Q3" s="81" t="str">
        <x:v>R8 constructors</x:v>
      </x:c>
      <x:c r="R3" s="81" t="str">
        <x:v>R9 drivers</x:v>
      </x:c>
      <x:c r="S3" s="81" t="str">
        <x:v>R9 constructors</x:v>
      </x:c>
      <x:c r="T3" s="81" t="str">
        <x:v>R10 drivers</x:v>
      </x:c>
      <x:c r="U3" s="81" t="str">
        <x:v>R10 constructors</x:v>
      </x:c>
      <x:c r="V3" s="81" t="str">
        <x:v>R11 drivers</x:v>
      </x:c>
      <x:c r="W3" s="81" t="str">
        <x:v>R11 constructors</x:v>
      </x:c>
      <x:c r="X3" s="81" t="str">
        <x:v>R12 drivers</x:v>
      </x:c>
      <x:c r="Y3" s="81" t="str">
        <x:v>R12 constructors</x:v>
      </x:c>
      <x:c r="Z3" s="81" t="str">
        <x:v>R13 drivers</x:v>
      </x:c>
      <x:c r="AA3" s="81" t="str">
        <x:v>R13 constructors</x:v>
      </x:c>
    </x:row>
    <x:row r="4" ht="46" customHeight="1">
      <x:c r="A4" t="str">
        <x:v>Max Points</x:v>
      </x:c>
      <x:c r="B4" t="str">
        <x:v>Total avoidance</x:v>
      </x:c>
      <x:c r="C4" s="82" t="n">
        <x:v>2245</x:v>
      </x:c>
      <x:c r="D4" s="82" t="n">
        <x:v>1587</x:v>
      </x:c>
      <x:c r="E4" s="83" t="n">
        <x:v>123.3</x:v>
      </x:c>
      <x:c r="F4" s="100" t="str">
        <x:v>RUS, LEC, ALB, OCO, BOR</x:v>
      </x:c>
      <x:c r="G4" s="100" t="str">
        <x:v>williams, haas</x:v>
      </x:c>
      <x:c r="H4" s="100" t="str">
        <x:v>ANT, LEC, HAM, ALB, OCO</x:v>
      </x:c>
      <x:c r="I4" s="100" t="str">
        <x:v>haas, audi</x:v>
      </x:c>
      <x:c r="J4" s="100" t="str">
        <x:v>ANT, LEC, HAM, OCO, LIN</x:v>
      </x:c>
      <x:c r="K4" s="100" t="str">
        <x:v>haas, racing_bulls</x:v>
      </x:c>
      <x:c r="L4" s="100" t="str">
        <x:v>ANT, LEC, OCO, LIN, LAW</x:v>
      </x:c>
      <x:c r="M4" s="100" t="str">
        <x:v>ferrari, racing_bulls</x:v>
      </x:c>
      <x:c r="N4" s="100" t="str">
        <x:v>NOR, ANT, SAI, OCO, COL</x:v>
      </x:c>
      <x:c r="O4" s="100" t="str">
        <x:v>williams, racing_bulls</x:v>
      </x:c>
      <x:c r="P4" s="100" t="str">
        <x:v>PIA, ANT, LEC, HAM, BOR</x:v>
      </x:c>
      <x:c r="Q4" s="100" t="str">
        <x:v>mercedes, ferrari</x:v>
      </x:c>
      <x:c r="R4" s="100" t="str">
        <x:v>PIA, ANT, HAM, OCO, LIN</x:v>
      </x:c>
      <x:c r="S4" s="100" t="str">
        <x:v>haas, racing_bulls</x:v>
      </x:c>
      <x:c r="T4" s="100" t="str">
        <x:v>PIA, HAM, OCO, LIN, COL</x:v>
      </x:c>
      <x:c r="U4" s="100" t="str">
        <x:v>ferrari, racing_bulls</x:v>
      </x:c>
      <x:c r="V4" s="100" t="str">
        <x:v>ANT, HAM, OCO, LIN, COL</x:v>
      </x:c>
      <x:c r="W4" s="100" t="str">
        <x:v>ferrari, racing_bulls</x:v>
      </x:c>
      <x:c r="X4" s="100" t="str">
        <x:v>ANT, HAM, HAD, LIN, BOR</x:v>
      </x:c>
      <x:c r="Y4" s="100" t="str">
        <x:v>ferrari, racing_bulls</x:v>
      </x:c>
      <x:c r="Z4" s="100" t="str">
        <x:v>ANT, HAM, HAD, LIN, BOR</x:v>
      </x:c>
      <x:c r="AA4" s="100" t="str">
        <x:v>ferrari, racing_bulls</x:v>
      </x:c>
    </x:row>
    <x:row r="5" ht="46" customHeight="1">
      <x:c r="A5" t="str">
        <x:v>Max Points</x:v>
      </x:c>
      <x:c r="B5" t="str">
        <x:v>Minimal risk accepted</x:v>
      </x:c>
      <x:c r="C5" s="82" t="n">
        <x:v>2431</x:v>
      </x:c>
      <x:c r="D5" s="82" t="n">
        <x:v>1659</x:v>
      </x:c>
      <x:c r="E5" s="83" t="n">
        <x:v>120.6</x:v>
      </x:c>
      <x:c r="F5" s="100" t="str">
        <x:v>RUS, ALB, OCO, COL, BOR</x:v>
      </x:c>
      <x:c r="G5" s="100" t="str">
        <x:v>mercedes, williams</x:v>
      </x:c>
      <x:c r="H5" s="100" t="str">
        <x:v>ANT, ALB, OCO, COL, BOR</x:v>
      </x:c>
      <x:c r="I5" s="100" t="str">
        <x:v>mercedes, haas</x:v>
      </x:c>
      <x:c r="J5" s="100" t="str">
        <x:v>ANT, OCO, LIN, COL, BOR</x:v>
      </x:c>
      <x:c r="K5" s="100" t="str">
        <x:v>mercedes, haas</x:v>
      </x:c>
      <x:c r="L5" s="100" t="str">
        <x:v>ANT, LEC, OCO, LIN, COL</x:v>
      </x:c>
      <x:c r="M5" s="100" t="str">
        <x:v>ferrari, haas</x:v>
      </x:c>
      <x:c r="N5" s="100" t="str">
        <x:v>ANT, OCO, LIN, COL, BOR</x:v>
      </x:c>
      <x:c r="O5" s="100" t="str">
        <x:v>mclaren, ferrari</x:v>
      </x:c>
      <x:c r="P5" s="100" t="str">
        <x:v>RUS, PIA, ANT, LEC, HAM</x:v>
      </x:c>
      <x:c r="Q5" s="100" t="str">
        <x:v>mercedes, ferrari</x:v>
      </x:c>
      <x:c r="R5" s="100" t="str">
        <x:v>ANT, OCO, LIN, COL, BOR</x:v>
      </x:c>
      <x:c r="S5" s="100" t="str">
        <x:v>mclaren, ferrari</x:v>
      </x:c>
      <x:c r="T5" s="100" t="str">
        <x:v>HAM, OCO, LIN, COL, BOR</x:v>
      </x:c>
      <x:c r="U5" s="100" t="str">
        <x:v>mclaren, ferrari</x:v>
      </x:c>
      <x:c r="V5" s="100" t="str">
        <x:v>VER, ANT, OCO, LIN, BOR</x:v>
      </x:c>
      <x:c r="W5" s="100" t="str">
        <x:v>ferrari, racing_bulls</x:v>
      </x:c>
      <x:c r="X5" s="100" t="str">
        <x:v>HAM, HAD, LIN, COL, HUL</x:v>
      </x:c>
      <x:c r="Y5" s="100" t="str">
        <x:v>red_bull, ferrari</x:v>
      </x:c>
      <x:c r="Z5" s="100" t="str">
        <x:v>HAM, HAD, LIN, LAW, HUL</x:v>
      </x:c>
      <x:c r="AA5" s="100" t="str">
        <x:v>mclaren, ferrari</x:v>
      </x:c>
    </x:row>
    <x:row r="6" ht="46" customHeight="1">
      <x:c r="A6" t="str">
        <x:v>Max Points</x:v>
      </x:c>
      <x:c r="B6" t="str">
        <x:v>Medium tolerance</x:v>
      </x:c>
      <x:c r="C6" s="82" t="n">
        <x:v>2493</x:v>
      </x:c>
      <x:c r="D6" s="82" t="n">
        <x:v>1698</x:v>
      </x:c>
      <x:c r="E6" s="83" t="n">
        <x:v>116.6</x:v>
      </x:c>
      <x:c r="F6" s="100" t="str">
        <x:v>RUS, ALB, OCO, LIN, BOR</x:v>
      </x:c>
      <x:c r="G6" s="100" t="str">
        <x:v>mercedes, haas</x:v>
      </x:c>
      <x:c r="H6" s="100" t="str">
        <x:v>ANT, ALB, OCO, COL, BOR</x:v>
      </x:c>
      <x:c r="I6" s="100" t="str">
        <x:v>mercedes, haas</x:v>
      </x:c>
      <x:c r="J6" s="100" t="str">
        <x:v>ANT, OCO, LIN, COL, BOR</x:v>
      </x:c>
      <x:c r="K6" s="100" t="str">
        <x:v>mercedes, haas</x:v>
      </x:c>
      <x:c r="L6" s="100" t="str">
        <x:v>ANT, LEC, OCO, LIN, BOR</x:v>
      </x:c>
      <x:c r="M6" s="100" t="str">
        <x:v>ferrari, haas</x:v>
      </x:c>
      <x:c r="N6" s="100" t="str">
        <x:v>ANT, OCO, LIN, BOR, BOT</x:v>
      </x:c>
      <x:c r="O6" s="100" t="str">
        <x:v>mercedes, ferrari</x:v>
      </x:c>
      <x:c r="P6" s="100" t="str">
        <x:v>RUS, PIA, ANT, LEC, HAM</x:v>
      </x:c>
      <x:c r="Q6" s="100" t="str">
        <x:v>mercedes, ferrari</x:v>
      </x:c>
      <x:c r="R6" s="100" t="str">
        <x:v>ANT, OCO, LIN, BOR, HUL</x:v>
      </x:c>
      <x:c r="S6" s="100" t="str">
        <x:v>mercedes, ferrari</x:v>
      </x:c>
      <x:c r="T6" s="100" t="str">
        <x:v>HAM, OCO, LIN, BOR, HUL</x:v>
      </x:c>
      <x:c r="U6" s="100" t="str">
        <x:v>mercedes, ferrari</x:v>
      </x:c>
      <x:c r="V6" s="100" t="str">
        <x:v>ANT, OCO, LIN, BOR, HUL</x:v>
      </x:c>
      <x:c r="W6" s="100" t="str">
        <x:v>mercedes, ferrari</x:v>
      </x:c>
      <x:c r="X6" s="100" t="str">
        <x:v>ANT, HAD, LIN, BOR, HUL</x:v>
      </x:c>
      <x:c r="Y6" s="100" t="str">
        <x:v>red_bull, ferrari</x:v>
      </x:c>
      <x:c r="Z6" s="100" t="str">
        <x:v>HAM, HAD, LIN, BOR, HUL</x:v>
      </x:c>
      <x:c r="AA6" s="100" t="str">
        <x:v>mclaren, ferrari</x:v>
      </x:c>
    </x:row>
    <x:row r="7" ht="46" customHeight="1">
      <x:c r="A7" t="str">
        <x:v>Max Points</x:v>
      </x:c>
      <x:c r="B7" t="str">
        <x:v>Maximum tolerance</x:v>
      </x:c>
      <x:c r="C7" s="82" t="n">
        <x:v>2267</x:v>
      </x:c>
      <x:c r="D7" s="82" t="n">
        <x:v>1562</x:v>
      </x:c>
      <x:c r="E7" s="83" t="n">
        <x:v>107.8</x:v>
      </x:c>
      <x:c r="F7" s="100" t="str">
        <x:v>RUS, HAD, OCO, LIN, BOR</x:v>
      </x:c>
      <x:c r="G7" s="100" t="str">
        <x:v>mercedes, audi</x:v>
      </x:c>
      <x:c r="H7" s="100" t="str">
        <x:v>ANT, HAD, ALB, OCO, BOR</x:v>
      </x:c>
      <x:c r="I7" s="100" t="str">
        <x:v>mercedes, audi</x:v>
      </x:c>
      <x:c r="J7" s="100" t="str">
        <x:v>ANT, HAD, OCO, LIN, BOR</x:v>
      </x:c>
      <x:c r="K7" s="100" t="str">
        <x:v>mercedes, audi</x:v>
      </x:c>
      <x:c r="L7" s="100" t="str">
        <x:v>ANT, OCO, LIN, LAW, BOR</x:v>
      </x:c>
      <x:c r="M7" s="100" t="str">
        <x:v>mercedes, racing_bulls</x:v>
      </x:c>
      <x:c r="N7" s="100" t="str">
        <x:v>ANT, HAD, OCO, LIN, LAW</x:v>
      </x:c>
      <x:c r="O7" s="100" t="str">
        <x:v>mercedes, racing_bulls</x:v>
      </x:c>
      <x:c r="P7" s="100" t="str">
        <x:v>RUS, VER, ANT, LEC, HAM</x:v>
      </x:c>
      <x:c r="Q7" s="100" t="str">
        <x:v>mercedes, ferrari</x:v>
      </x:c>
      <x:c r="R7" s="100" t="str">
        <x:v>ANT, LIN, LAW, HUL, BOT</x:v>
      </x:c>
      <x:c r="S7" s="100" t="str">
        <x:v>mercedes, ferrari</x:v>
      </x:c>
      <x:c r="T7" s="100" t="str">
        <x:v>ANT, ALB, LIN, HUL, BOT</x:v>
      </x:c>
      <x:c r="U7" s="100" t="str">
        <x:v>mercedes, ferrari</x:v>
      </x:c>
      <x:c r="V7" s="100" t="str">
        <x:v>ANT, LIN, BOR, HUL, BOT</x:v>
      </x:c>
      <x:c r="W7" s="100" t="str">
        <x:v>mercedes, ferrari</x:v>
      </x:c>
      <x:c r="X7" s="100" t="str">
        <x:v>NOR, HAD, STR, HUL, BOT</x:v>
      </x:c>
      <x:c r="Y7" s="100" t="str">
        <x:v>red_bull, ferrari</x:v>
      </x:c>
      <x:c r="Z7" s="100" t="str">
        <x:v>HAM, HAD, STR, HUL, BOT</x:v>
      </x:c>
      <x:c r="AA7" s="100" t="str">
        <x:v>mclaren, ferrari</x:v>
      </x:c>
    </x:row>
    <x:row r="8" ht="46" customHeight="1">
      <x:c r="A8" t="str">
        <x:v>Balanced</x:v>
      </x:c>
      <x:c r="B8" t="str">
        <x:v>Total avoidance</x:v>
      </x:c>
      <x:c r="C8" s="82" t="n">
        <x:v>2245</x:v>
      </x:c>
      <x:c r="D8" s="82" t="n">
        <x:v>1587</x:v>
      </x:c>
      <x:c r="E8" s="83" t="n">
        <x:v>123.3</x:v>
      </x:c>
      <x:c r="F8" s="100" t="str">
        <x:v>RUS, LEC, ALB, OCO, BOR</x:v>
      </x:c>
      <x:c r="G8" s="100" t="str">
        <x:v>williams, haas</x:v>
      </x:c>
      <x:c r="H8" s="100" t="str">
        <x:v>ANT, LEC, HAM, ALB, OCO</x:v>
      </x:c>
      <x:c r="I8" s="100" t="str">
        <x:v>haas, audi</x:v>
      </x:c>
      <x:c r="J8" s="100" t="str">
        <x:v>ANT, LEC, HAM, OCO, LIN</x:v>
      </x:c>
      <x:c r="K8" s="100" t="str">
        <x:v>haas, racing_bulls</x:v>
      </x:c>
      <x:c r="L8" s="100" t="str">
        <x:v>ANT, LEC, OCO, LIN, LAW</x:v>
      </x:c>
      <x:c r="M8" s="100" t="str">
        <x:v>ferrari, racing_bulls</x:v>
      </x:c>
      <x:c r="N8" s="100" t="str">
        <x:v>NOR, ANT, SAI, OCO, COL</x:v>
      </x:c>
      <x:c r="O8" s="100" t="str">
        <x:v>williams, racing_bulls</x:v>
      </x:c>
      <x:c r="P8" s="100" t="str">
        <x:v>PIA, ANT, LEC, HAM, BOR</x:v>
      </x:c>
      <x:c r="Q8" s="100" t="str">
        <x:v>mercedes, ferrari</x:v>
      </x:c>
      <x:c r="R8" s="100" t="str">
        <x:v>PIA, ANT, HAM, OCO, LIN</x:v>
      </x:c>
      <x:c r="S8" s="100" t="str">
        <x:v>haas, racing_bulls</x:v>
      </x:c>
      <x:c r="T8" s="100" t="str">
        <x:v>PIA, HAM, OCO, LIN, COL</x:v>
      </x:c>
      <x:c r="U8" s="100" t="str">
        <x:v>ferrari, racing_bulls</x:v>
      </x:c>
      <x:c r="V8" s="100" t="str">
        <x:v>ANT, HAM, OCO, LIN, COL</x:v>
      </x:c>
      <x:c r="W8" s="100" t="str">
        <x:v>ferrari, racing_bulls</x:v>
      </x:c>
      <x:c r="X8" s="100" t="str">
        <x:v>ANT, HAM, HAD, LIN, BOR</x:v>
      </x:c>
      <x:c r="Y8" s="100" t="str">
        <x:v>ferrari, racing_bulls</x:v>
      </x:c>
      <x:c r="Z8" s="100" t="str">
        <x:v>ANT, HAM, HAD, LIN, BOR</x:v>
      </x:c>
      <x:c r="AA8" s="100" t="str">
        <x:v>ferrari, racing_bulls</x:v>
      </x:c>
    </x:row>
    <x:row r="9" ht="46" customHeight="1">
      <x:c r="A9" t="str">
        <x:v>Balanced</x:v>
      </x:c>
      <x:c r="B9" t="str">
        <x:v>Minimal risk accepted</x:v>
      </x:c>
      <x:c r="C9" s="82" t="n">
        <x:v>2443</x:v>
      </x:c>
      <x:c r="D9" s="82" t="n">
        <x:v>1671</x:v>
      </x:c>
      <x:c r="E9" s="83" t="n">
        <x:v>121</x:v>
      </x:c>
      <x:c r="F9" s="100" t="str">
        <x:v>RUS, ALB, OCO, COL, BOR</x:v>
      </x:c>
      <x:c r="G9" s="100" t="str">
        <x:v>mercedes, williams</x:v>
      </x:c>
      <x:c r="H9" s="100" t="str">
        <x:v>ANT, ALB, OCO, COL, BOR</x:v>
      </x:c>
      <x:c r="I9" s="100" t="str">
        <x:v>mercedes, haas</x:v>
      </x:c>
      <x:c r="J9" s="100" t="str">
        <x:v>ANT, OCO, LIN, COL, BOR</x:v>
      </x:c>
      <x:c r="K9" s="100" t="str">
        <x:v>mercedes, haas</x:v>
      </x:c>
      <x:c r="L9" s="100" t="str">
        <x:v>ANT, LEC, OCO, LIN, COL</x:v>
      </x:c>
      <x:c r="M9" s="100" t="str">
        <x:v>ferrari, haas</x:v>
      </x:c>
      <x:c r="N9" s="100" t="str">
        <x:v>ANT, OCO, LIN, COL, BOR</x:v>
      </x:c>
      <x:c r="O9" s="100" t="str">
        <x:v>mclaren, ferrari</x:v>
      </x:c>
      <x:c r="P9" s="100" t="str">
        <x:v>RUS, PIA, ANT, LEC, HAM</x:v>
      </x:c>
      <x:c r="Q9" s="100" t="str">
        <x:v>mercedes, ferrari</x:v>
      </x:c>
      <x:c r="R9" s="100" t="str">
        <x:v>ANT, OCO, LIN, COL, BOR</x:v>
      </x:c>
      <x:c r="S9" s="100" t="str">
        <x:v>mclaren, ferrari</x:v>
      </x:c>
      <x:c r="T9" s="100" t="str">
        <x:v>HAM, OCO, LIN, COL, BOR</x:v>
      </x:c>
      <x:c r="U9" s="100" t="str">
        <x:v>mclaren, ferrari</x:v>
      </x:c>
      <x:c r="V9" s="100" t="str">
        <x:v>VER, ANT, LIN, COL, BOR</x:v>
      </x:c>
      <x:c r="W9" s="100" t="str">
        <x:v>ferrari, racing_bulls</x:v>
      </x:c>
      <x:c r="X9" s="100" t="str">
        <x:v>HAM, HAD, LIN, COL, HUL</x:v>
      </x:c>
      <x:c r="Y9" s="100" t="str">
        <x:v>red_bull, ferrari</x:v>
      </x:c>
      <x:c r="Z9" s="100" t="str">
        <x:v>HAM, HAD, LIN, LAW, HUL</x:v>
      </x:c>
      <x:c r="AA9" s="100" t="str">
        <x:v>mclaren, ferrari</x:v>
      </x:c>
    </x:row>
    <x:row r="10" ht="46" customHeight="1">
      <x:c r="A10" t="str">
        <x:v>Balanced</x:v>
      </x:c>
      <x:c r="B10" t="str">
        <x:v>Medium tolerance</x:v>
      </x:c>
      <x:c r="C10" s="82" t="n">
        <x:v>2502</x:v>
      </x:c>
      <x:c r="D10" s="82" t="n">
        <x:v>1707</x:v>
      </x:c>
      <x:c r="E10" s="83" t="n">
        <x:v>118.9</x:v>
      </x:c>
      <x:c r="F10" s="100" t="str">
        <x:v>RUS, ALB, OCO, LIN, BOR</x:v>
      </x:c>
      <x:c r="G10" s="100" t="str">
        <x:v>mercedes, haas</x:v>
      </x:c>
      <x:c r="H10" s="100" t="str">
        <x:v>ANT, ALB, OCO, COL, BOR</x:v>
      </x:c>
      <x:c r="I10" s="100" t="str">
        <x:v>mercedes, haas</x:v>
      </x:c>
      <x:c r="J10" s="100" t="str">
        <x:v>ANT, OCO, LIN, COL, BOR</x:v>
      </x:c>
      <x:c r="K10" s="100" t="str">
        <x:v>mercedes, haas</x:v>
      </x:c>
      <x:c r="L10" s="100" t="str">
        <x:v>ANT, OCO, LIN, COL, LAW</x:v>
      </x:c>
      <x:c r="M10" s="100" t="str">
        <x:v>mercedes, racing_bulls</x:v>
      </x:c>
      <x:c r="N10" s="100" t="str">
        <x:v>ANT, SAI, OCO, LIN, COL</x:v>
      </x:c>
      <x:c r="O10" s="100" t="str">
        <x:v>mercedes, racing_bulls</x:v>
      </x:c>
      <x:c r="P10" s="100" t="str">
        <x:v>RUS, PIA, ANT, LEC, HAM</x:v>
      </x:c>
      <x:c r="Q10" s="100" t="str">
        <x:v>mercedes, ferrari</x:v>
      </x:c>
      <x:c r="R10" s="100" t="str">
        <x:v>ANT, OCO, LIN, COL, HUL</x:v>
      </x:c>
      <x:c r="S10" s="100" t="str">
        <x:v>mercedes, ferrari</x:v>
      </x:c>
      <x:c r="T10" s="100" t="str">
        <x:v>HAM, OCO, LIN, COL, HUL</x:v>
      </x:c>
      <x:c r="U10" s="100" t="str">
        <x:v>mercedes, ferrari</x:v>
      </x:c>
      <x:c r="V10" s="100" t="str">
        <x:v>ANT, OCO, LIN, COL, HUL</x:v>
      </x:c>
      <x:c r="W10" s="100" t="str">
        <x:v>mercedes, ferrari</x:v>
      </x:c>
      <x:c r="X10" s="100" t="str">
        <x:v>NOR, HAD, LIN, BOR, HUL</x:v>
      </x:c>
      <x:c r="Y10" s="100" t="str">
        <x:v>red_bull, ferrari</x:v>
      </x:c>
      <x:c r="Z10" s="100" t="str">
        <x:v>HAM, HAD, LIN, BOR, HUL</x:v>
      </x:c>
      <x:c r="AA10" s="100" t="str">
        <x:v>mclaren, ferrari</x:v>
      </x:c>
    </x:row>
    <x:row r="11" ht="46" customHeight="1">
      <x:c r="A11" t="str">
        <x:v>Balanced</x:v>
      </x:c>
      <x:c r="B11" t="str">
        <x:v>Maximum tolerance</x:v>
      </x:c>
      <x:c r="C11" s="82" t="n">
        <x:v>2438</x:v>
      </x:c>
      <x:c r="D11" s="82" t="n">
        <x:v>1719</x:v>
      </x:c>
      <x:c r="E11" s="83" t="n">
        <x:v>117.7</x:v>
      </x:c>
      <x:c r="F11" s="100" t="str">
        <x:v>RUS, HAD, OCO, LIN, BOR</x:v>
      </x:c>
      <x:c r="G11" s="100" t="str">
        <x:v>mercedes, audi</x:v>
      </x:c>
      <x:c r="H11" s="100" t="str">
        <x:v>ANT, OCO, LIN, COL, BOR</x:v>
      </x:c>
      <x:c r="I11" s="100" t="str">
        <x:v>mercedes, audi</x:v>
      </x:c>
      <x:c r="J11" s="100" t="str">
        <x:v>ANT, OCO, LIN, COL, BOR</x:v>
      </x:c>
      <x:c r="K11" s="100" t="str">
        <x:v>mercedes, alpine</x:v>
      </x:c>
      <x:c r="L11" s="100" t="str">
        <x:v>ANT, OCO, LIN, COL, LAW</x:v>
      </x:c>
      <x:c r="M11" s="100" t="str">
        <x:v>mercedes, racing_bulls</x:v>
      </x:c>
      <x:c r="N11" s="100" t="str">
        <x:v>ANT, COL, BOR, PER, BOT</x:v>
      </x:c>
      <x:c r="O11" s="100" t="str">
        <x:v>mercedes, ferrari</x:v>
      </x:c>
      <x:c r="P11" s="100" t="str">
        <x:v>RUS, VER, ANT, LEC, HAM</x:v>
      </x:c>
      <x:c r="Q11" s="100" t="str">
        <x:v>mercedes, ferrari</x:v>
      </x:c>
      <x:c r="R11" s="100" t="str">
        <x:v>ANT, GAS, LIN, BOR, HUL</x:v>
      </x:c>
      <x:c r="S11" s="100" t="str">
        <x:v>mercedes, ferrari</x:v>
      </x:c>
      <x:c r="T11" s="100" t="str">
        <x:v>ANT, OCO, LIN, BOR, HUL</x:v>
      </x:c>
      <x:c r="U11" s="100" t="str">
        <x:v>mercedes, ferrari</x:v>
      </x:c>
      <x:c r="V11" s="100" t="str">
        <x:v>ANT, LIN, COL, BOR, HUL</x:v>
      </x:c>
      <x:c r="W11" s="100" t="str">
        <x:v>mercedes, ferrari</x:v>
      </x:c>
      <x:c r="X11" s="100" t="str">
        <x:v>ANT, HAD, LIN, BOR, HUL</x:v>
      </x:c>
      <x:c r="Y11" s="100" t="str">
        <x:v>red_bull, ferrari</x:v>
      </x:c>
      <x:c r="Z11" s="100" t="str">
        <x:v>HAM, HAD, LIN, BOR, HUL</x:v>
      </x:c>
      <x:c r="AA11" s="100" t="str">
        <x:v>mclaren, ferrari</x:v>
      </x:c>
    </x:row>
    <x:row r="12" ht="46" customHeight="1">
      <x:c r="A12" t="str">
        <x:v>Budget Builder</x:v>
      </x:c>
      <x:c r="B12" t="str">
        <x:v>Total avoidance</x:v>
      </x:c>
      <x:c r="C12" s="82" t="n">
        <x:v>2245</x:v>
      </x:c>
      <x:c r="D12" s="82" t="n">
        <x:v>1587</x:v>
      </x:c>
      <x:c r="E12" s="83" t="n">
        <x:v>123.3</x:v>
      </x:c>
      <x:c r="F12" s="100" t="str">
        <x:v>RUS, LEC, ALB, OCO, BOR</x:v>
      </x:c>
      <x:c r="G12" s="100" t="str">
        <x:v>williams, haas</x:v>
      </x:c>
      <x:c r="H12" s="100" t="str">
        <x:v>ANT, LEC, HAM, ALB, OCO</x:v>
      </x:c>
      <x:c r="I12" s="100" t="str">
        <x:v>haas, audi</x:v>
      </x:c>
      <x:c r="J12" s="100" t="str">
        <x:v>ANT, LEC, HAM, OCO, LIN</x:v>
      </x:c>
      <x:c r="K12" s="100" t="str">
        <x:v>haas, racing_bulls</x:v>
      </x:c>
      <x:c r="L12" s="100" t="str">
        <x:v>ANT, LEC, OCO, LIN, LAW</x:v>
      </x:c>
      <x:c r="M12" s="100" t="str">
        <x:v>ferrari, racing_bulls</x:v>
      </x:c>
      <x:c r="N12" s="100" t="str">
        <x:v>NOR, ANT, SAI, OCO, COL</x:v>
      </x:c>
      <x:c r="O12" s="100" t="str">
        <x:v>williams, racing_bulls</x:v>
      </x:c>
      <x:c r="P12" s="100" t="str">
        <x:v>PIA, ANT, LEC, HAM, BOR</x:v>
      </x:c>
      <x:c r="Q12" s="100" t="str">
        <x:v>mercedes, ferrari</x:v>
      </x:c>
      <x:c r="R12" s="100" t="str">
        <x:v>PIA, ANT, HAM, OCO, LIN</x:v>
      </x:c>
      <x:c r="S12" s="100" t="str">
        <x:v>haas, racing_bulls</x:v>
      </x:c>
      <x:c r="T12" s="100" t="str">
        <x:v>PIA, HAM, OCO, LIN, COL</x:v>
      </x:c>
      <x:c r="U12" s="100" t="str">
        <x:v>ferrari, racing_bulls</x:v>
      </x:c>
      <x:c r="V12" s="100" t="str">
        <x:v>ANT, HAM, OCO, LIN, COL</x:v>
      </x:c>
      <x:c r="W12" s="100" t="str">
        <x:v>ferrari, racing_bulls</x:v>
      </x:c>
      <x:c r="X12" s="100" t="str">
        <x:v>ANT, HAM, HAD, LIN, BOR</x:v>
      </x:c>
      <x:c r="Y12" s="100" t="str">
        <x:v>ferrari, racing_bulls</x:v>
      </x:c>
      <x:c r="Z12" s="100" t="str">
        <x:v>ANT, HAM, HAD, LIN, BOR</x:v>
      </x:c>
      <x:c r="AA12" s="100" t="str">
        <x:v>ferrari, racing_bulls</x:v>
      </x:c>
    </x:row>
    <x:row r="13" ht="46" customHeight="1">
      <x:c r="A13" t="str">
        <x:v>Budget Builder</x:v>
      </x:c>
      <x:c r="B13" t="str">
        <x:v>Minimal risk accepted</x:v>
      </x:c>
      <x:c r="C13" s="82" t="n">
        <x:v>2387</x:v>
      </x:c>
      <x:c r="D13" s="82" t="n">
        <x:v>1647</x:v>
      </x:c>
      <x:c r="E13" s="83" t="n">
        <x:v>124.3</x:v>
      </x:c>
      <x:c r="F13" s="100" t="str">
        <x:v>RUS, OCO, LIN, COL, BOR</x:v>
      </x:c>
      <x:c r="G13" s="100" t="str">
        <x:v>mercedes, williams</x:v>
      </x:c>
      <x:c r="H13" s="100" t="str">
        <x:v>ANT, ALB, OCO, COL, BOR</x:v>
      </x:c>
      <x:c r="I13" s="100" t="str">
        <x:v>mercedes, williams</x:v>
      </x:c>
      <x:c r="J13" s="100" t="str">
        <x:v>ANT, SAI, OCO, LIN, COL</x:v>
      </x:c>
      <x:c r="K13" s="100" t="str">
        <x:v>mercedes, williams</x:v>
      </x:c>
      <x:c r="L13" s="100" t="str">
        <x:v>ANT, LEC, OCO, LIN, LAW</x:v>
      </x:c>
      <x:c r="M13" s="100" t="str">
        <x:v>ferrari, racing_bulls</x:v>
      </x:c>
      <x:c r="N13" s="100" t="str">
        <x:v>ANT, LEC, OCO, COL, PER</x:v>
      </x:c>
      <x:c r="O13" s="100" t="str">
        <x:v>ferrari, racing_bulls</x:v>
      </x:c>
      <x:c r="P13" s="100" t="str">
        <x:v>RUS, PIA, ANT, LEC, HAM</x:v>
      </x:c>
      <x:c r="Q13" s="100" t="str">
        <x:v>mercedes, ferrari</x:v>
      </x:c>
      <x:c r="R13" s="100" t="str">
        <x:v>ANT, HAM, OCO, COL, BOR</x:v>
      </x:c>
      <x:c r="S13" s="100" t="str">
        <x:v>ferrari, racing_bulls</x:v>
      </x:c>
      <x:c r="T13" s="100" t="str">
        <x:v>HAM, OCO, LIN, COL, BOR</x:v>
      </x:c>
      <x:c r="U13" s="100" t="str">
        <x:v>mercedes, ferrari</x:v>
      </x:c>
      <x:c r="V13" s="100" t="str">
        <x:v>VER, HAM, LIN, COL, BOR</x:v>
      </x:c>
      <x:c r="W13" s="100" t="str">
        <x:v>ferrari, racing_bulls</x:v>
      </x:c>
      <x:c r="X13" s="100" t="str">
        <x:v>HAM, HAD, LIN, COL, BOR</x:v>
      </x:c>
      <x:c r="Y13" s="100" t="str">
        <x:v>red_bull, ferrari</x:v>
      </x:c>
      <x:c r="Z13" s="100" t="str">
        <x:v>HAM, HAD, LIN, COL, BOR</x:v>
      </x:c>
      <x:c r="AA13" s="100" t="str">
        <x:v>mclaren, ferrari</x:v>
      </x:c>
    </x:row>
    <x:row r="14" ht="46" customHeight="1">
      <x:c r="A14" t="str">
        <x:v>Budget Builder</x:v>
      </x:c>
      <x:c r="B14" t="str">
        <x:v>Medium tolerance</x:v>
      </x:c>
      <x:c r="C14" s="82" t="n">
        <x:v>2537</x:v>
      </x:c>
      <x:c r="D14" s="82" t="n">
        <x:v>1720</x:v>
      </x:c>
      <x:c r="E14" s="83" t="n">
        <x:v>124.3</x:v>
      </x:c>
      <x:c r="F14" s="100" t="str">
        <x:v>RUS, OCO, LIN, COL, BOR</x:v>
      </x:c>
      <x:c r="G14" s="100" t="str">
        <x:v>mercedes, haas</x:v>
      </x:c>
      <x:c r="H14" s="100" t="str">
        <x:v>ANT, OCO, LIN, COL, BOR</x:v>
      </x:c>
      <x:c r="I14" s="100" t="str">
        <x:v>mercedes, alpine</x:v>
      </x:c>
      <x:c r="J14" s="100" t="str">
        <x:v>ANT, SAI, OCO, LIN, COL</x:v>
      </x:c>
      <x:c r="K14" s="100" t="str">
        <x:v>mercedes, alpine</x:v>
      </x:c>
      <x:c r="L14" s="100" t="str">
        <x:v>ANT, LEC, OCO, LIN, LAW</x:v>
      </x:c>
      <x:c r="M14" s="100" t="str">
        <x:v>ferrari, racing_bulls</x:v>
      </x:c>
      <x:c r="N14" s="100" t="str">
        <x:v>ANT, LEC, OCO, COL, PER</x:v>
      </x:c>
      <x:c r="O14" s="100" t="str">
        <x:v>ferrari, racing_bulls</x:v>
      </x:c>
      <x:c r="P14" s="100" t="str">
        <x:v>RUS, PIA, ANT, LEC, HAM</x:v>
      </x:c>
      <x:c r="Q14" s="100" t="str">
        <x:v>mercedes, ferrari</x:v>
      </x:c>
      <x:c r="R14" s="100" t="str">
        <x:v>ANT, HAM, OCO, COL, BOR</x:v>
      </x:c>
      <x:c r="S14" s="100" t="str">
        <x:v>ferrari, racing_bulls</x:v>
      </x:c>
      <x:c r="T14" s="100" t="str">
        <x:v>ANT, HAM, OCO, LIN, BOR</x:v>
      </x:c>
      <x:c r="U14" s="100" t="str">
        <x:v>mercedes, racing_bulls</x:v>
      </x:c>
      <x:c r="V14" s="100" t="str">
        <x:v>ANT, HAM, LIN, COL, BOR</x:v>
      </x:c>
      <x:c r="W14" s="100" t="str">
        <x:v>mercedes, racing_bulls</x:v>
      </x:c>
      <x:c r="X14" s="100" t="str">
        <x:v>ANT, HAM, HAD, LIN, COL</x:v>
      </x:c>
      <x:c r="Y14" s="100" t="str">
        <x:v>ferrari, racing_bulls</x:v>
      </x:c>
      <x:c r="Z14" s="100" t="str">
        <x:v>LEC, HAM, HAD, LIN, COL</x:v>
      </x:c>
      <x:c r="AA14" s="100" t="str">
        <x:v>ferrari, racing_bulls</x:v>
      </x:c>
    </x:row>
    <x:row r="15" ht="46" customHeight="1">
      <x:c r="A15" t="str">
        <x:v>Budget Builder</x:v>
      </x:c>
      <x:c r="B15" t="str">
        <x:v>Maximum tolerance</x:v>
      </x:c>
      <x:c r="C15" s="82" t="n">
        <x:v>2449</x:v>
      </x:c>
      <x:c r="D15" s="82" t="n">
        <x:v>1667</x:v>
      </x:c>
      <x:c r="E15" s="83" t="n">
        <x:v>120.3</x:v>
      </x:c>
      <x:c r="F15" s="100" t="str">
        <x:v>RUS, OCO, LIN, BOR, HUL</x:v>
      </x:c>
      <x:c r="G15" s="100" t="str">
        <x:v>mercedes, haas</x:v>
      </x:c>
      <x:c r="H15" s="100" t="str">
        <x:v>ANT, OCO, LIN, COL, BOR</x:v>
      </x:c>
      <x:c r="I15" s="100" t="str">
        <x:v>mercedes, haas</x:v>
      </x:c>
      <x:c r="J15" s="100" t="str">
        <x:v>ANT, OCO, LIN, COL, PER</x:v>
      </x:c>
      <x:c r="K15" s="100" t="str">
        <x:v>mercedes, haas</x:v>
      </x:c>
      <x:c r="L15" s="100" t="str">
        <x:v>ANT, LEC, OCO, LIN, LAW</x:v>
      </x:c>
      <x:c r="M15" s="100" t="str">
        <x:v>ferrari, racing_bulls</x:v>
      </x:c>
      <x:c r="N15" s="100" t="str">
        <x:v>ANT, LEC, OCO, COL, PER</x:v>
      </x:c>
      <x:c r="O15" s="100" t="str">
        <x:v>ferrari, racing_bulls</x:v>
      </x:c>
      <x:c r="P15" s="100" t="str">
        <x:v>RUS, VER, ANT, LEC, HAM</x:v>
      </x:c>
      <x:c r="Q15" s="100" t="str">
        <x:v>mercedes, ferrari</x:v>
      </x:c>
      <x:c r="R15" s="100" t="str">
        <x:v>ANT, OCO, COL, LAW, HUL</x:v>
      </x:c>
      <x:c r="S15" s="100" t="str">
        <x:v>mclaren, ferrari</x:v>
      </x:c>
      <x:c r="T15" s="100" t="str">
        <x:v>ANT, OCO, LIN, LAW, HUL</x:v>
      </x:c>
      <x:c r="U15" s="100" t="str">
        <x:v>mercedes, ferrari</x:v>
      </x:c>
      <x:c r="V15" s="100" t="str">
        <x:v>HAM, HAD, OCO, LIN, HUL</x:v>
      </x:c>
      <x:c r="W15" s="100" t="str">
        <x:v>mercedes, ferrari</x:v>
      </x:c>
      <x:c r="X15" s="100" t="str">
        <x:v>HAM, HAD, OCO, LIN, HUL</x:v>
      </x:c>
      <x:c r="Y15" s="100" t="str">
        <x:v>red_bull, ferrari</x:v>
      </x:c>
      <x:c r="Z15" s="100" t="str">
        <x:v>HAM, HAD, OCO, LIN, HUL</x:v>
      </x:c>
      <x:c r="AA15" s="100" t="str">
        <x:v>mclaren, ferrari</x:v>
      </x:c>
    </x:row>
  </x:sheetData>
  <x:mergeCells>
    <x:mergeCell ref="A1:AA1"/>
    <x:mergeCell ref="A2:AA2"/>
  </x:mergeCells>
  <x:conditionalFormatting sqref="D4:D15">
    <x:cfRule type="colorScale" priority="1">
      <x:colorScale>
        <x:cfvo type="min"/>
        <x:cfvo type="percentile" val="50"/>
        <x:cfvo type="max"/>
        <x:color rgb="FFFBE2E0"/>
        <x:color rgb="FFFFF4CC"/>
        <x:color rgb="FFDDF4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bc9ee3ff83f41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8" hidden="0" customWidth="1"/>
    <x:col min="4" max="4" width="24" hidden="0" customWidth="1"/>
    <x:col min="5" max="5" width="13" hidden="0" customWidth="1"/>
    <x:col min="6" max="6" width="16" hidden="0" customWidth="1"/>
    <x:col min="7" max="7" width="13" hidden="0" customWidth="1"/>
    <x:col min="8" max="8" width="12" hidden="0" customWidth="1"/>
    <x:col min="9" max="9" width="13" hidden="0" customWidth="1"/>
    <x:col min="10" max="10" width="12" hidden="0" customWidth="1"/>
    <x:col min="11" max="11" width="36" hidden="0" customWidth="1"/>
    <x:col min="12" max="12" width="25" hidden="0" customWidth="1"/>
    <x:col min="13" max="13" width="10" hidden="0" customWidth="1"/>
    <x:col min="14" max="14" width="12" hidden="0" customWidth="1"/>
    <x:col min="15" max="15" width="10" hidden="0" customWidth="1"/>
    <x:col min="16" max="16" width="14" hidden="0" customWidth="1"/>
    <x:col min="17" max="17" width="16" hidden="0" customWidth="1"/>
    <x:col min="18" max="18" width="16" hidden="0" customWidth="1"/>
    <x:col min="19" max="19" width="12" hidden="0" customWidth="1"/>
    <x:col min="20" max="20" width="42" hidden="0" customWidth="1"/>
    <x:col min="21" max="21" width="78" hidden="0" customWidth="1"/>
  </x:cols>
  <x:sheetData>
    <x:row r="1" ht="30" customHeight="1">
      <x:c r="A1" s="4" t="str">
        <x:v>Weekend-by-weekend team evolution</x:v>
      </x:c>
      <x:c r="B1" s="4" t="str">
        <x:v>Weekend-by-weekend team evolution</x:v>
      </x:c>
      <x:c r="C1" s="4" t="str">
        <x:v>Weekend-by-weekend team evolution</x:v>
      </x:c>
      <x:c r="D1" s="4" t="str">
        <x:v>Weekend-by-weekend team evolution</x:v>
      </x:c>
      <x:c r="E1" s="4" t="str">
        <x:v>Weekend-by-weekend team evolution</x:v>
      </x:c>
      <x:c r="F1" s="4" t="str">
        <x:v>Weekend-by-weekend team evolution</x:v>
      </x:c>
      <x:c r="G1" s="4" t="str">
        <x:v>Weekend-by-weekend team evolution</x:v>
      </x:c>
      <x:c r="H1" s="4" t="str">
        <x:v>Weekend-by-weekend team evolution</x:v>
      </x:c>
      <x:c r="I1" s="4" t="str">
        <x:v>Weekend-by-weekend team evolution</x:v>
      </x:c>
      <x:c r="J1" s="4" t="str">
        <x:v>Weekend-by-weekend team evolution</x:v>
      </x:c>
      <x:c r="K1" s="4" t="str">
        <x:v>Weekend-by-weekend team evolution</x:v>
      </x:c>
      <x:c r="L1" s="4" t="str">
        <x:v>Weekend-by-weekend team evolution</x:v>
      </x:c>
      <x:c r="M1" s="4" t="str">
        <x:v>Weekend-by-weekend team evolution</x:v>
      </x:c>
      <x:c r="N1" s="4" t="str">
        <x:v>Weekend-by-weekend team evolution</x:v>
      </x:c>
      <x:c r="O1" s="4" t="str">
        <x:v>Weekend-by-weekend team evolution</x:v>
      </x:c>
      <x:c r="P1" s="4" t="str">
        <x:v>Weekend-by-weekend team evolution</x:v>
      </x:c>
      <x:c r="Q1" s="4" t="str">
        <x:v>Weekend-by-weekend team evolution</x:v>
      </x:c>
      <x:c r="R1" s="4" t="str">
        <x:v>Weekend-by-weekend team evolution</x:v>
      </x:c>
      <x:c r="S1" s="4" t="str">
        <x:v>Weekend-by-weekend team evolution</x:v>
      </x:c>
      <x:c r="T1" s="4" t="str">
        <x:v>Weekend-by-weekend team evolution</x:v>
      </x:c>
      <x:c r="U1" s="4" t="str">
        <x:v>Weekend-by-weekend team evolution</x:v>
      </x:c>
    </x:row>
    <x:row r="2">
      <x:c r="A2" s="13" t="str">
        <x:v>Every path and completed weekend. Filter by Manager, Risk profile, Round or Chip. Reasons use archived pre-deadline evidence only.</x:v>
      </x:c>
      <x:c r="B2" s="14" t="str">
        <x:v>Every path and completed weekend. Filter by Manager, Risk profile, Round or Chip. Reasons use archived pre-deadline evidence only.</x:v>
      </x:c>
      <x:c r="C2" s="14" t="str">
        <x:v>Every path and completed weekend. Filter by Manager, Risk profile, Round or Chip. Reasons use archived pre-deadline evidence only.</x:v>
      </x:c>
      <x:c r="D2" s="14" t="str">
        <x:v>Every path and completed weekend. Filter by Manager, Risk profile, Round or Chip. Reasons use archived pre-deadline evidence only.</x:v>
      </x:c>
      <x:c r="E2" s="14" t="str">
        <x:v>Every path and completed weekend. Filter by Manager, Risk profile, Round or Chip. Reasons use archived pre-deadline evidence only.</x:v>
      </x:c>
      <x:c r="F2" s="14" t="str">
        <x:v>Every path and completed weekend. Filter by Manager, Risk profile, Round or Chip. Reasons use archived pre-deadline evidence only.</x:v>
      </x:c>
      <x:c r="G2" s="14" t="str">
        <x:v>Every path and completed weekend. Filter by Manager, Risk profile, Round or Chip. Reasons use archived pre-deadline evidence only.</x:v>
      </x:c>
      <x:c r="H2" s="14" t="str">
        <x:v>Every path and completed weekend. Filter by Manager, Risk profile, Round or Chip. Reasons use archived pre-deadline evidence only.</x:v>
      </x:c>
      <x:c r="I2" s="14" t="str">
        <x:v>Every path and completed weekend. Filter by Manager, Risk profile, Round or Chip. Reasons use archived pre-deadline evidence only.</x:v>
      </x:c>
      <x:c r="J2" s="14" t="str">
        <x:v>Every path and completed weekend. Filter by Manager, Risk profile, Round or Chip. Reasons use archived pre-deadline evidence only.</x:v>
      </x:c>
      <x:c r="K2" s="14" t="str">
        <x:v>Every path and completed weekend. Filter by Manager, Risk profile, Round or Chip. Reasons use archived pre-deadline evidence only.</x:v>
      </x:c>
      <x:c r="L2" s="14" t="str">
        <x:v>Every path and completed weekend. Filter by Manager, Risk profile, Round or Chip. Reasons use archived pre-deadline evidence only.</x:v>
      </x:c>
      <x:c r="M2" s="14" t="str">
        <x:v>Every path and completed weekend. Filter by Manager, Risk profile, Round or Chip. Reasons use archived pre-deadline evidence only.</x:v>
      </x:c>
      <x:c r="N2" s="14" t="str">
        <x:v>Every path and completed weekend. Filter by Manager, Risk profile, Round or Chip. Reasons use archived pre-deadline evidence only.</x:v>
      </x:c>
      <x:c r="O2" s="14" t="str">
        <x:v>Every path and completed weekend. Filter by Manager, Risk profile, Round or Chip. Reasons use archived pre-deadline evidence only.</x:v>
      </x:c>
      <x:c r="P2" s="14" t="str">
        <x:v>Every path and completed weekend. Filter by Manager, Risk profile, Round or Chip. Reasons use archived pre-deadline evidence only.</x:v>
      </x:c>
      <x:c r="Q2" s="14" t="str">
        <x:v>Every path and completed weekend. Filter by Manager, Risk profile, Round or Chip. Reasons use archived pre-deadline evidence only.</x:v>
      </x:c>
      <x:c r="R2" s="14" t="str">
        <x:v>Every path and completed weekend. Filter by Manager, Risk profile, Round or Chip. Reasons use archived pre-deadline evidence only.</x:v>
      </x:c>
      <x:c r="S2" s="14" t="str">
        <x:v>Every path and completed weekend. Filter by Manager, Risk profile, Round or Chip. Reasons use archived pre-deadline evidence only.</x:v>
      </x:c>
      <x:c r="T2" s="14" t="str">
        <x:v>Every path and completed weekend. Filter by Manager, Risk profile, Round or Chip. Reasons use archived pre-deadline evidence only.</x:v>
      </x:c>
      <x:c r="U2" s="15" t="str">
        <x:v>Every path and completed weekend. Filter by Manager, Risk profile, Round or Chip. Reasons use archived pre-deadline evidence only.</x:v>
      </x:c>
    </x:row>
    <x:row r="4" ht="30" customHeight="1">
      <x:c r="A4" s="81" t="str">
        <x:v>Manager</x:v>
      </x:c>
      <x:c r="B4" s="81" t="str">
        <x:v>Risk profile</x:v>
      </x:c>
      <x:c r="C4" s="81" t="str">
        <x:v>Round</x:v>
      </x:c>
      <x:c r="D4" s="81" t="str">
        <x:v>Weekend</x:v>
      </x:c>
      <x:c r="E4" s="81" t="str">
        <x:v>Archive</x:v>
      </x:c>
      <x:c r="F4" s="81" t="str">
        <x:v>Chip</x:v>
      </x:c>
      <x:c r="G4" s="81" t="str">
        <x:v>Budget before</x:v>
      </x:c>
      <x:c r="H4" s="81" t="str">
        <x:v>Team cost</x:v>
      </x:c>
      <x:c r="I4" s="81" t="str">
        <x:v>Budget after</x:v>
      </x:c>
      <x:c r="J4" s="81" t="str">
        <x:v>Captain</x:v>
      </x:c>
      <x:c r="K4" s="81" t="str">
        <x:v>Drivers</x:v>
      </x:c>
      <x:c r="L4" s="81" t="str">
        <x:v>Constructors</x:v>
      </x:c>
      <x:c r="M4" s="81" t="str">
        <x:v>Transfers</x:v>
      </x:c>
      <x:c r="N4" s="81" t="str">
        <x:v>Free transfers</x:v>
      </x:c>
      <x:c r="O4" s="81" t="str">
        <x:v>Penalty</x:v>
      </x:c>
      <x:c r="P4" s="81" t="str">
        <x:v>Projected points</x:v>
      </x:c>
      <x:c r="Q4" s="81" t="str">
        <x:v>Projected price gain</x:v>
      </x:c>
      <x:c r="R4" s="81" t="str">
        <x:v>Forecast P5 downside</x:v>
      </x:c>
      <x:c r="S4" s="81" t="str">
        <x:v>Actual points</x:v>
      </x:c>
      <x:c r="T4" s="81" t="str">
        <x:v>Changes</x:v>
      </x:c>
      <x:c r="U4" s="81" t="str">
        <x:v>Reasons</x:v>
      </x:c>
    </x:row>
    <x:row r="5" ht="52" customHeight="1">
      <x:c r="A5" s="101" t="str">
        <x:v>Max Points</x:v>
      </x:c>
      <x:c r="B5" s="101" t="str">
        <x:v>Total avoidance</x:v>
      </x:c>
      <x:c r="C5" s="101" t="n">
        <x:v>1</x:v>
      </x:c>
      <x:c r="D5" s="101" t="str">
        <x:v>Australian Grand Prix</x:v>
      </x:c>
      <x:c r="E5" s="101" t="str">
        <x:v>reconstructed</x:v>
      </x:c>
      <x:c r="F5" s="101" t="str"/>
      <x:c r="G5" s="102" t="n">
        <x:v>100</x:v>
      </x:c>
      <x:c r="H5" s="102" t="n">
        <x:v>95.2</x:v>
      </x:c>
      <x:c r="I5" s="102" t="n">
        <x:v>103.7</x:v>
      </x:c>
      <x:c r="J5" s="105" t="str">
        <x:v>RUS</x:v>
      </x:c>
      <x:c r="K5" s="105" t="str">
        <x:v>RUS, LEC, ALB, OCO, BOR</x:v>
      </x:c>
      <x:c r="L5" s="105" t="str">
        <x:v>Williams, Haas</x:v>
      </x:c>
      <x:c r="M5" s="106" t="n">
        <x:v>0</x:v>
      </x:c>
      <x:c r="N5" s="106" t="n">
        <x:v>0</x:v>
      </x:c>
      <x:c r="O5" s="106" t="n">
        <x:v>0</x:v>
      </x:c>
      <x:c r="P5" s="107" t="n">
        <x:v>188.7</x:v>
      </x:c>
      <x:c r="Q5" s="107" t="n">
        <x:v>2.6</x:v>
      </x:c>
      <x:c r="R5" s="107" t="n">
        <x:v>11</x:v>
      </x:c>
      <x:c r="S5" s="106" t="n">
        <x:v>191</x:v>
      </x:c>
      <x:c r="T5" s="105" t="str">
        <x:v>Initial selection</x:v>
      </x:c>
      <x:c r="U5" s="105" t="str">
        <x:v>Initial team selected by the manager philosophy and risk profile under the $100.0M cap.</x:v>
      </x:c>
    </x:row>
    <x:row r="6" ht="52" customHeight="1">
      <x:c r="A6" s="101" t="str">
        <x:v>Max Points</x:v>
      </x:c>
      <x:c r="B6" s="101" t="str">
        <x:v>Total avoidance</x:v>
      </x:c>
      <x:c r="C6" s="101" t="n">
        <x:v>2</x:v>
      </x:c>
      <x:c r="D6" s="101" t="str">
        <x:v>Chinese Grand Prix</x:v>
      </x:c>
      <x:c r="E6" s="101" t="str">
        <x:v>reconstructed</x:v>
      </x:c>
      <x:c r="F6" s="101" t="str"/>
      <x:c r="G6" s="102" t="n">
        <x:v>103.7</x:v>
      </x:c>
      <x:c r="H6" s="102" t="n">
        <x:v>103.4</x:v>
      </x:c>
      <x:c r="I6" s="102" t="n">
        <x:v>103.7</x:v>
      </x:c>
      <x:c r="J6" s="105" t="str">
        <x:v>ANT</x:v>
      </x:c>
      <x:c r="K6" s="105" t="str">
        <x:v>ANT, LEC, HAM, ALB, OCO</x:v>
      </x:c>
      <x:c r="L6" s="105" t="str">
        <x:v>Haas, Audi</x:v>
      </x:c>
      <x:c r="M6" s="106" t="n">
        <x:v>3</x:v>
      </x:c>
      <x:c r="N6" s="106" t="n">
        <x:v>2</x:v>
      </x:c>
      <x:c r="O6" s="106" t="n">
        <x:v>10</x:v>
      </x:c>
      <x:c r="P6" s="107" t="n">
        <x:v>263.8</x:v>
      </x:c>
      <x:c r="Q6" s="107" t="n">
        <x:v>2.7</x:v>
      </x:c>
      <x:c r="R6" s="107" t="n">
        <x:v>12.5</x:v>
      </x:c>
      <x:c r="S6" s="106" t="n">
        <x:v>303</x:v>
      </x:c>
      <x:c r="T6" s="105" t="str">
        <x:v>BOR (Gabriel Bortoleto) → HAM (Lewis Hamilton)
RUS (George Russell) → ANT (Kimi Antonelli)
Williams → Audi</x:v>
      </x:c>
      <x:c r="U6" s="105" t="str">
        <x:v>BOR (Gabriel Bortoleto) → HAM (Lewis Hamilton): cut negative-P5 exposure by 9.0, the profile's first priority; projection +12.9 pts; forecast price change -0.5M; negative-P5 exposure -9.0; spent $16.5M more.
RUS (George Russell) → ANT (Kimi Antonelli): preserved the minimum feasible negative-P5 exposure; projection +2.7 pts; released $4.2M; became the projected 2x captain.
Williams → Audi: accepted 5.5 more negative-P5 exposure only as part of the safest feasible full lineup; gave up 3.9 projected pts; negative-P5 exposure +5.5; released $7.8M.</x:v>
      </x:c>
    </x:row>
    <x:row r="7" ht="52" customHeight="1">
      <x:c r="A7" s="101" t="str">
        <x:v>Max Points</x:v>
      </x:c>
      <x:c r="B7" s="101" t="str">
        <x:v>Total avoidance</x:v>
      </x:c>
      <x:c r="C7" s="101" t="n">
        <x:v>3</x:v>
      </x:c>
      <x:c r="D7" s="101" t="str">
        <x:v>Japanese Grand Prix</x:v>
      </x:c>
      <x:c r="E7" s="101" t="str">
        <x:v>reconstructed</x:v>
      </x:c>
      <x:c r="F7" s="101" t="str"/>
      <x:c r="G7" s="102" t="n">
        <x:v>103.7</x:v>
      </x:c>
      <x:c r="H7" s="102" t="n">
        <x:v>102.1</x:v>
      </x:c>
      <x:c r="I7" s="102" t="n">
        <x:v>106.6</x:v>
      </x:c>
      <x:c r="J7" s="105" t="str">
        <x:v>ANT</x:v>
      </x:c>
      <x:c r="K7" s="105" t="str">
        <x:v>ANT, LEC, HAM, OCO, LIN</x:v>
      </x:c>
      <x:c r="L7" s="105" t="str">
        <x:v>Haas, Racing Bulls</x:v>
      </x:c>
      <x:c r="M7" s="106" t="n">
        <x:v>2</x:v>
      </x:c>
      <x:c r="N7" s="106" t="n">
        <x:v>1</x:v>
      </x:c>
      <x:c r="O7" s="106" t="n">
        <x:v>10</x:v>
      </x:c>
      <x:c r="P7" s="107" t="n">
        <x:v>200.1</x:v>
      </x:c>
      <x:c r="Q7" s="107" t="n">
        <x:v>3.3</x:v>
      </x:c>
      <x:c r="R7" s="107" t="n">
        <x:v>12</x:v>
      </x:c>
      <x:c r="S7" s="106" t="n">
        <x:v>164</x:v>
      </x:c>
      <x:c r="T7" s="105" t="str">
        <x:v>ALB (Alex Albon) → LIN (Arvid Lindblad)
Audi → Racing Bulls</x:v>
      </x:c>
      <x:c r="U7" s="105" t="str">
        <x:v>ALB (Alex Albon) → LIN (Arvid Lindblad): cut negative-P5 exposure by 4.0, the profile's first priority; projection +7.8 pts; forecast price change +1.2M; negative-P5 exposure -4.0; released $3.4M.
Audi → Racing Bulls: cut negative-P5 exposure by 5.0, the profile's first priority; projection +6.0 pts; forecast price change +0.4M; negative-P5 exposure -5.0; spent $2.1M more.</x:v>
      </x:c>
    </x:row>
    <x:row r="8" ht="52" customHeight="1">
      <x:c r="A8" s="101" t="str">
        <x:v>Max Points</x:v>
      </x:c>
      <x:c r="B8" s="101" t="str">
        <x:v>Total avoidance</x:v>
      </x:c>
      <x:c r="C8" s="101" t="n">
        <x:v>6</x:v>
      </x:c>
      <x:c r="D8" s="101" t="str">
        <x:v>Miami Grand Prix</x:v>
      </x:c>
      <x:c r="E8" s="101" t="str">
        <x:v>genuine</x:v>
      </x:c>
      <x:c r="F8" s="101" t="str"/>
      <x:c r="G8" s="102" t="n">
        <x:v>106.6</x:v>
      </x:c>
      <x:c r="H8" s="102" t="n">
        <x:v>104.3</x:v>
      </x:c>
      <x:c r="I8" s="102" t="n">
        <x:v>108.7</x:v>
      </x:c>
      <x:c r="J8" s="105" t="str">
        <x:v>ANT</x:v>
      </x:c>
      <x:c r="K8" s="105" t="str">
        <x:v>ANT, LEC, OCO, LIN, LAW</x:v>
      </x:c>
      <x:c r="L8" s="105" t="str">
        <x:v>Ferrari, Racing Bulls</x:v>
      </x:c>
      <x:c r="M8" s="106" t="n">
        <x:v>2</x:v>
      </x:c>
      <x:c r="N8" s="106" t="n">
        <x:v>1</x:v>
      </x:c>
      <x:c r="O8" s="106" t="n">
        <x:v>10</x:v>
      </x:c>
      <x:c r="P8" s="107" t="n">
        <x:v>378.5</x:v>
      </x:c>
      <x:c r="Q8" s="107" t="n">
        <x:v>3.3</x:v>
      </x:c>
      <x:c r="R8" s="107" t="n">
        <x:v>0</x:v>
      </x:c>
      <x:c r="S8" s="106" t="n">
        <x:v>158</x:v>
      </x:c>
      <x:c r="T8" s="105" t="str">
        <x:v>HAM (Lewis Hamilton) → LAW (Liam Lawson)
Haas → Ferrari</x:v>
      </x:c>
      <x:c r="U8" s="105" t="str">
        <x:v>HAM (Lewis Hamilton) → LAW (Liam Lawson): preserved the minimum feasible negative-P5 exposure; gave up 7.3 projected pts; forecast price change +0.3M; released $15.7M.
Haas → Ferrari: preserved the minimum feasible negative-P5 exposure; projection +55.3 pts; forecast price change -0.3M; spent $15.0M more.</x:v>
      </x:c>
    </x:row>
    <x:row r="9" ht="52" customHeight="1">
      <x:c r="A9" s="101" t="str">
        <x:v>Max Points</x:v>
      </x:c>
      <x:c r="B9" s="101" t="str">
        <x:v>Total avoidance</x:v>
      </x:c>
      <x:c r="C9" s="101" t="n">
        <x:v>7</x:v>
      </x:c>
      <x:c r="D9" s="101" t="str">
        <x:v>Canadian Grand Prix</x:v>
      </x:c>
      <x:c r="E9" s="101" t="str">
        <x:v>genuine</x:v>
      </x:c>
      <x:c r="F9" s="101" t="str">
        <x:v>wild card</x:v>
      </x:c>
      <x:c r="G9" s="102" t="n">
        <x:v>108.7</x:v>
      </x:c>
      <x:c r="H9" s="102" t="n">
        <x:v>104.8</x:v>
      </x:c>
      <x:c r="I9" s="102" t="n">
        <x:v>110.9</x:v>
      </x:c>
      <x:c r="J9" s="105" t="str">
        <x:v>ANT</x:v>
      </x:c>
      <x:c r="K9" s="105" t="str">
        <x:v>NOR, ANT, SAI, OCO, COL</x:v>
      </x:c>
      <x:c r="L9" s="105" t="str">
        <x:v>Williams, Racing Bulls</x:v>
      </x:c>
      <x:c r="M9" s="106" t="n">
        <x:v>4</x:v>
      </x:c>
      <x:c r="N9" s="106" t="n">
        <x:v>1</x:v>
      </x:c>
      <x:c r="O9" s="106" t="n">
        <x:v>0</x:v>
      </x:c>
      <x:c r="P9" s="107" t="n">
        <x:v>261.4</x:v>
      </x:c>
      <x:c r="Q9" s="107" t="n">
        <x:v>3.2</x:v>
      </x:c>
      <x:c r="R9" s="107" t="n">
        <x:v>14</x:v>
      </x:c>
      <x:c r="S9" s="106" t="n">
        <x:v>202</x:v>
      </x:c>
      <x:c r="T9" s="105" t="str">
        <x:v>LAW (Liam Lawson) → COL (Franco Colapinto)
LEC (Charles Leclerc) → NOR (Lando Norris)
LIN (Arvid Lindblad) → SAI (Carlos Sainz)
Ferrari → Williams</x:v>
      </x:c>
      <x:c r="U9" s="105" t="str">
        <x:v>LAW (Liam Lawson) → COL (Franco Colapinto): Wild Card made the permanent rebuild free; Forecasted competitive-order change called for 4 lineup changes and a 25.6-utility improvement; this is the upgrade/order-shift proxy.; cut negative-P5 exposure by 10.0, the profile's first priority; projection +0.8 pts; forecast price change +1.2M; negative-P5 exposure -10.0; spent $0.1M more.
LEC (Charles Leclerc) → NOR (Lando Norris): Wild Card made the permanent rebuild free; Forecasted competitive-order change called for 4 lineup changes and a 25.6-utility improvement; this is the upgrade/order-shift proxy.; preserved the minimum feasible negative-P5 exposure; projection +10.8 pts; spent $2.4M more.
LIN (Arvid Lindblad) → SAI (Carlos Sainz): Wild Card made the permanent rebuild free; Forecasted competitive-order change called for 4 lineup changes and a 25.6-utility improvement; this is the upgrade/order-shift proxy.; cut negative-P5 exposure by 4.0, the profile's first priority; projection +4.1 pts; forecast price change +0.8M; negative-P5 exposure -4.0; spent $6.0M more.
Ferrari → Williams: Wild Card made the permanent rebuild free; Forecasted competitive-order change called for 4 lineup changes and a 25.6-utility improvement; this is the upgrade/order-shift proxy.; preserved the minimum feasible negative-P5 exposure; gave up 46.0 projected pts; forecast price change +0.3M; released $10.1M.</x:v>
      </x:c>
    </x:row>
    <x:row r="10" ht="52" customHeight="1">
      <x:c r="A10" s="101" t="str">
        <x:v>Max Points</x:v>
      </x:c>
      <x:c r="B10" s="101" t="str">
        <x:v>Total avoidance</x:v>
      </x:c>
      <x:c r="C10" s="101" t="n">
        <x:v>8</x:v>
      </x:c>
      <x:c r="D10" s="101" t="str">
        <x:v>Monaco Grand Prix</x:v>
      </x:c>
      <x:c r="E10" s="101" t="str">
        <x:v>genuine</x:v>
      </x:c>
      <x:c r="F10" s="101" t="str">
        <x:v>limitless</x:v>
      </x:c>
      <x:c r="G10" s="102" t="n">
        <x:v>110.9</x:v>
      </x:c>
      <x:c r="H10" s="102" t="n">
        <x:v>158.4</x:v>
      </x:c>
      <x:c r="I10" s="102" t="n">
        <x:v>112.7</x:v>
      </x:c>
      <x:c r="J10" s="105" t="str">
        <x:v>LEC</x:v>
      </x:c>
      <x:c r="K10" s="105" t="str">
        <x:v>PIA, ANT, LEC, HAM, BOR</x:v>
      </x:c>
      <x:c r="L10" s="105" t="str">
        <x:v>Mercedes, Ferrari</x:v>
      </x:c>
      <x:c r="M10" s="106" t="n">
        <x:v>0</x:v>
      </x:c>
      <x:c r="N10" s="106" t="n">
        <x:v>2</x:v>
      </x:c>
      <x:c r="O10" s="106" t="n">
        <x:v>0</x:v>
      </x:c>
      <x:c r="P10" s="107" t="n">
        <x:v>297.3</x:v>
      </x:c>
      <x:c r="Q10" s="107" t="n">
        <x:v>1.6</x:v>
      </x:c>
      <x:c r="R10" s="107" t="n">
        <x:v>1</x:v>
      </x:c>
      <x:c r="S10" s="106" t="n">
        <x:v>176</x:v>
      </x:c>
      <x:c r="T10" s="105" t="str">
        <x:v>Temporary Limitless lineup; owned team reverted</x:v>
      </x:c>
      <x:c r="U10" s="105" t="str">
        <x:v>Limitless temporarily added BOR (Gabriel Bortoleto), HAM (Lewis Hamilton), LEC (Charles Leclerc), PIA (Oscar Piastri), Ferrari, Mercedes. Most qualifying-dependent completed circuit: 10/10 overtaking difficulty, where an unrestricted premium lineup should create the largest advantage over budget-constrained teams. The owned team reverted after the round.</x:v>
      </x:c>
    </x:row>
    <x:row r="11" ht="52" customHeight="1">
      <x:c r="A11" s="101" t="str">
        <x:v>Max Points</x:v>
      </x:c>
      <x:c r="B11" s="101" t="str">
        <x:v>Total avoidance</x:v>
      </x:c>
      <x:c r="C11" s="101" t="n">
        <x:v>9</x:v>
      </x:c>
      <x:c r="D11" s="101" t="str">
        <x:v>Spanish Grand Prix</x:v>
      </x:c>
      <x:c r="E11" s="101" t="str">
        <x:v>genuine</x:v>
      </x:c>
      <x:c r="F11" s="101" t="str"/>
      <x:c r="G11" s="102" t="n">
        <x:v>112.7</x:v>
      </x:c>
      <x:c r="H11" s="102" t="n">
        <x:v>110.4</x:v>
      </x:c>
      <x:c r="I11" s="102" t="n">
        <x:v>113.6</x:v>
      </x:c>
      <x:c r="J11" s="105" t="str">
        <x:v>ANT</x:v>
      </x:c>
      <x:c r="K11" s="105" t="str">
        <x:v>PIA, ANT, HAM, OCO, LIN</x:v>
      </x:c>
      <x:c r="L11" s="105" t="str">
        <x:v>Haas, Racing Bulls</x:v>
      </x:c>
      <x:c r="M11" s="106" t="n">
        <x:v>4</x:v>
      </x:c>
      <x:c r="N11" s="106" t="n">
        <x:v>3</x:v>
      </x:c>
      <x:c r="O11" s="106" t="n">
        <x:v>10</x:v>
      </x:c>
      <x:c r="P11" s="107" t="n">
        <x:v>169.6</x:v>
      </x:c>
      <x:c r="Q11" s="107" t="n">
        <x:v>0.9</x:v>
      </x:c>
      <x:c r="R11" s="107" t="n">
        <x:v>3</x:v>
      </x:c>
      <x:c r="S11" s="106" t="n">
        <x:v>117</x:v>
      </x:c>
      <x:c r="T11" s="105" t="str">
        <x:v>COL (Franco Colapinto) → LIN (Arvid Lindblad)
NOR (Lando Norris) → PIA (Oscar Piastri)
SAI (Carlos Sainz) → HAM (Lewis Hamilton)
Williams → Haas</x:v>
      </x:c>
      <x:c r="U11" s="105" t="str">
        <x:v>COL (Franco Colapinto) → LIN (Arvid Lindblad): cut negative-P5 exposure by 1.0, the profile's first priority; projection +1.1 pts; forecast price change -0.8M; negative-P5 exposure -1.0; released $3.6M.
NOR (Lando Norris) → PIA (Oscar Piastri): cut negative-P5 exposure by 6.0, the profile's first priority; projection +1.1 pts; forecast price change +0.2M; negative-P5 exposure -6.0; released $1.1M.
SAI (Carlos Sainz) → HAM (Lewis Hamilton): cut negative-P5 exposure by 12.0, the profile's first priority; projection +21.4 pts; forecast price change +0.9M; negative-P5 exposure -12.0; spent $11.3M more.
Williams → Haas: cut negative-P5 exposure by 5.5, the profile's first priority; projection +4.6 pts; forecast price change +0.4M; negative-P5 exposure -5.5; released $5.0M.</x:v>
      </x:c>
    </x:row>
    <x:row r="12" ht="52" customHeight="1">
      <x:c r="A12" s="101" t="str">
        <x:v>Max Points</x:v>
      </x:c>
      <x:c r="B12" s="101" t="str">
        <x:v>Total avoidance</x:v>
      </x:c>
      <x:c r="C12" s="101" t="n">
        <x:v>10</x:v>
      </x:c>
      <x:c r="D12" s="101" t="str">
        <x:v>Austrian Grand Prix</x:v>
      </x:c>
      <x:c r="E12" s="101" t="str">
        <x:v>genuine</x:v>
      </x:c>
      <x:c r="F12" s="101" t="str">
        <x:v>no negative</x:v>
      </x:c>
      <x:c r="G12" s="102" t="n">
        <x:v>113.6</x:v>
      </x:c>
      <x:c r="H12" s="102" t="n">
        <x:v>111</x:v>
      </x:c>
      <x:c r="I12" s="102" t="n">
        <x:v>114.9</x:v>
      </x:c>
      <x:c r="J12" s="105" t="str">
        <x:v>HAM</x:v>
      </x:c>
      <x:c r="K12" s="105" t="str">
        <x:v>PIA, HAM, OCO, LIN, COL</x:v>
      </x:c>
      <x:c r="L12" s="105" t="str">
        <x:v>Ferrari, Racing Bulls</x:v>
      </x:c>
      <x:c r="M12" s="106" t="n">
        <x:v>2</x:v>
      </x:c>
      <x:c r="N12" s="106" t="n">
        <x:v>1</x:v>
      </x:c>
      <x:c r="O12" s="106" t="n">
        <x:v>10</x:v>
      </x:c>
      <x:c r="P12" s="107" t="n">
        <x:v>168.4</x:v>
      </x:c>
      <x:c r="Q12" s="107" t="n">
        <x:v>1.3</x:v>
      </x:c>
      <x:c r="R12" s="107" t="n">
        <x:v>9.1</x:v>
      </x:c>
      <x:c r="S12" s="106" t="n">
        <x:v>184</x:v>
      </x:c>
      <x:c r="T12" s="105" t="str">
        <x:v>ANT (Kimi Antonelli) → COL (Franco Colapinto)
Haas → Ferrari</x:v>
      </x:c>
      <x:c r="U12" s="105" t="str">
        <x:v>ANT (Kimi Antonelli) → COL (Franco Colapinto): cut negative-P5 exposure by 11.3, the profile's first priority; gave up 22.1 projected pts; forecast price change -0.7M; negative-P5 exposure -11.3; released $15.3M.
Haas → Ferrari: cut negative-P5 exposure by 13.1, the profile's first priority; projection +41.1 pts; forecast price change +0.5M; negative-P5 exposure -13.1; spent $15.0M more.
No Negative: Highest combined pre-race attrition signal after accounting for field DNF probability (18.5%), weather DNF multiplier (1.10x), and rain risk (LOW).</x:v>
      </x:c>
    </x:row>
    <x:row r="13" ht="52" customHeight="1">
      <x:c r="A13" s="101" t="str">
        <x:v>Max Points</x:v>
      </x:c>
      <x:c r="B13" s="101" t="str">
        <x:v>Total avoidance</x:v>
      </x:c>
      <x:c r="C13" s="101" t="n">
        <x:v>11</x:v>
      </x:c>
      <x:c r="D13" s="101" t="str">
        <x:v>British Grand Prix</x:v>
      </x:c>
      <x:c r="E13" s="101" t="str">
        <x:v>genuine</x:v>
      </x:c>
      <x:c r="F13" s="101" t="str">
        <x:v>autopilot</x:v>
      </x:c>
      <x:c r="G13" s="102" t="n">
        <x:v>114.9</x:v>
      </x:c>
      <x:c r="H13" s="102" t="n">
        <x:v>112.8</x:v>
      </x:c>
      <x:c r="I13" s="102" t="n">
        <x:v>117.4</x:v>
      </x:c>
      <x:c r="J13" s="105" t="str">
        <x:v>HAM</x:v>
      </x:c>
      <x:c r="K13" s="105" t="str">
        <x:v>ANT, HAM, OCO, LIN, COL</x:v>
      </x:c>
      <x:c r="L13" s="105" t="str">
        <x:v>Ferrari, Racing Bulls</x:v>
      </x:c>
      <x:c r="M13" s="106" t="n">
        <x:v>1</x:v>
      </x:c>
      <x:c r="N13" s="106" t="n">
        <x:v>1</x:v>
      </x:c>
      <x:c r="O13" s="106" t="n">
        <x:v>0</x:v>
      </x:c>
      <x:c r="P13" s="107" t="n">
        <x:v>228.8</x:v>
      </x:c>
      <x:c r="Q13" s="107" t="n">
        <x:v>1.7</x:v>
      </x:c>
      <x:c r="R13" s="107" t="n">
        <x:v>34.1</x:v>
      </x:c>
      <x:c r="S13" s="106" t="n">
        <x:v>300</x:v>
      </x:c>
      <x:c r="T13" s="105" t="str">
        <x:v>PIA (Oscar Piastri) → ANT (Kimi Antonelli)</x:v>
      </x:c>
      <x:c r="U13" s="105" t="str">
        <x:v>PIA (Oscar Piastri) → ANT (Kimi Antonelli): cut negative-P5 exposure by 6.7, the profile's first priority; projection +12.5 pts; negative-P5 exposure -6.7; spent $0.5M more.
Autopilot: Greatest remaining forecast uncertainty between captain candidates.</x:v>
      </x:c>
    </x:row>
    <x:row r="14" ht="52" customHeight="1">
      <x:c r="A14" s="101" t="str">
        <x:v>Max Points</x:v>
      </x:c>
      <x:c r="B14" s="101" t="str">
        <x:v>Total avoidance</x:v>
      </x:c>
      <x:c r="C14" s="101" t="n">
        <x:v>12</x:v>
      </x:c>
      <x:c r="D14" s="101" t="str">
        <x:v>Belgian Grand Prix</x:v>
      </x:c>
      <x:c r="E14" s="101" t="str">
        <x:v>genuine</x:v>
      </x:c>
      <x:c r="F14" s="101" t="str"/>
      <x:c r="G14" s="102" t="n">
        <x:v>117.4</x:v>
      </x:c>
      <x:c r="H14" s="102" t="n">
        <x:v>114.5</x:v>
      </x:c>
      <x:c r="I14" s="102" t="n">
        <x:v>120.5</x:v>
      </x:c>
      <x:c r="J14" s="105" t="str">
        <x:v>HAD</x:v>
      </x:c>
      <x:c r="K14" s="105" t="str">
        <x:v>ANT, HAM, HAD, LIN, BOR</x:v>
      </x:c>
      <x:c r="L14" s="105" t="str">
        <x:v>Ferrari, Racing Bulls</x:v>
      </x:c>
      <x:c r="M14" s="106" t="n">
        <x:v>2</x:v>
      </x:c>
      <x:c r="N14" s="106" t="n">
        <x:v>1</x:v>
      </x:c>
      <x:c r="O14" s="106" t="n">
        <x:v>10</x:v>
      </x:c>
      <x:c r="P14" s="107" t="n">
        <x:v>193.5</x:v>
      </x:c>
      <x:c r="Q14" s="107" t="n">
        <x:v>2.5</x:v>
      </x:c>
      <x:c r="R14" s="107" t="n">
        <x:v>66</x:v>
      </x:c>
      <x:c r="S14" s="106" t="n">
        <x:v>225</x:v>
      </x:c>
      <x:c r="T14" s="105" t="str">
        <x:v>COL (Franco Colapinto) → HAD (Isack Hadjar)
OCO (Esteban Ocon) → BOR (Gabriel Bortoleto)</x:v>
      </x:c>
      <x:c r="U14" s="105" t="str">
        <x:v>COL (Franco Colapinto) → HAD (Isack Hadjar): preserved the minimum feasible negative-P5 exposure; projection +30.6 pts; spent $2.9M more; became the projected 2x captain.
OCO (Esteban Ocon) → BOR (Gabriel Bortoleto): cut negative-P5 exposure by 0.4, the profile's first priority; gave up 1.3 projected pts; negative-P5 exposure -0.4; released $3.7M.</x:v>
      </x:c>
    </x:row>
    <x:row r="15" ht="52" customHeight="1">
      <x:c r="A15" s="101" t="str">
        <x:v>Max Points</x:v>
      </x:c>
      <x:c r="B15" s="101" t="str">
        <x:v>Total avoidance</x:v>
      </x:c>
      <x:c r="C15" s="101" t="n">
        <x:v>13</x:v>
      </x:c>
      <x:c r="D15" s="101" t="str">
        <x:v>Hungarian Grand Prix</x:v>
      </x:c>
      <x:c r="E15" s="101" t="str">
        <x:v>genuine</x:v>
      </x:c>
      <x:c r="F15" s="101" t="str"/>
      <x:c r="G15" s="102" t="n">
        <x:v>120.5</x:v>
      </x:c>
      <x:c r="H15" s="102" t="n">
        <x:v>117.6</x:v>
      </x:c>
      <x:c r="I15" s="102" t="n">
        <x:v>123.3</x:v>
      </x:c>
      <x:c r="J15" s="105" t="str">
        <x:v>HAM</x:v>
      </x:c>
      <x:c r="K15" s="105" t="str">
        <x:v>ANT, HAM, HAD, LIN, BOR</x:v>
      </x:c>
      <x:c r="L15" s="105" t="str">
        <x:v>Ferrari, Racing Bulls</x:v>
      </x:c>
      <x:c r="M15" s="106" t="n">
        <x:v>0</x:v>
      </x:c>
      <x:c r="N15" s="106" t="n">
        <x:v>1</x:v>
      </x:c>
      <x:c r="O15" s="106" t="n">
        <x:v>0</x:v>
      </x:c>
      <x:c r="P15" s="107" t="n">
        <x:v>167.4</x:v>
      </x:c>
      <x:c r="Q15" s="107" t="n">
        <x:v>2.1</x:v>
      </x:c>
      <x:c r="R15" s="107" t="n">
        <x:v>64.6</x:v>
      </x:c>
      <x:c r="S15" s="106" t="n">
        <x:v>225</x:v>
      </x:c>
      <x:c r="T15" s="105" t="str">
        <x:v>Hold</x:v>
      </x:c>
      <x:c r="U15" s="105" t="str">
        <x:v>Held the existing team because no permitted transfer improved the manager's lineup-level objective enough after transfer penalties.</x:v>
      </x:c>
    </x:row>
    <x:row r="16" ht="52" customHeight="1">
      <x:c r="A16" s="101" t="str">
        <x:v>Max Points</x:v>
      </x:c>
      <x:c r="B16" s="101" t="str">
        <x:v>Minimal risk accepted</x:v>
      </x:c>
      <x:c r="C16" s="101" t="n">
        <x:v>1</x:v>
      </x:c>
      <x:c r="D16" s="101" t="str">
        <x:v>Australian Grand Prix</x:v>
      </x:c>
      <x:c r="E16" s="101" t="str">
        <x:v>reconstructed</x:v>
      </x:c>
      <x:c r="F16" s="101" t="str"/>
      <x:c r="G16" s="102" t="n">
        <x:v>100</x:v>
      </x:c>
      <x:c r="H16" s="102" t="n">
        <x:v>99.9</x:v>
      </x:c>
      <x:c r="I16" s="102" t="n">
        <x:v>103.9</x:v>
      </x:c>
      <x:c r="J16" s="105" t="str">
        <x:v>RUS</x:v>
      </x:c>
      <x:c r="K16" s="105" t="str">
        <x:v>RUS, ALB, OCO, COL, BOR</x:v>
      </x:c>
      <x:c r="L16" s="105" t="str">
        <x:v>Mercedes, Williams</x:v>
      </x:c>
      <x:c r="M16" s="106" t="n">
        <x:v>0</x:v>
      </x:c>
      <x:c r="N16" s="106" t="n">
        <x:v>0</x:v>
      </x:c>
      <x:c r="O16" s="106" t="n">
        <x:v>0</x:v>
      </x:c>
      <x:c r="P16" s="107" t="n">
        <x:v>224.4</x:v>
      </x:c>
      <x:c r="Q16" s="107" t="n">
        <x:v>2.4</x:v>
      </x:c>
      <x:c r="R16" s="107" t="n">
        <x:v>11.5</x:v>
      </x:c>
      <x:c r="S16" s="106" t="n">
        <x:v>230</x:v>
      </x:c>
      <x:c r="T16" s="105" t="str">
        <x:v>Initial selection</x:v>
      </x:c>
      <x:c r="U16" s="105" t="str">
        <x:v>Initial team selected by the manager philosophy and risk profile under the $100.0M cap.</x:v>
      </x:c>
    </x:row>
    <x:row r="17" ht="52" customHeight="1">
      <x:c r="A17" s="101" t="str">
        <x:v>Max Points</x:v>
      </x:c>
      <x:c r="B17" s="101" t="str">
        <x:v>Minimal risk accepted</x:v>
      </x:c>
      <x:c r="C17" s="101" t="n">
        <x:v>2</x:v>
      </x:c>
      <x:c r="D17" s="101" t="str">
        <x:v>Chinese Grand Prix</x:v>
      </x:c>
      <x:c r="E17" s="101" t="str">
        <x:v>reconstructed</x:v>
      </x:c>
      <x:c r="F17" s="101" t="str"/>
      <x:c r="G17" s="102" t="n">
        <x:v>103.9</x:v>
      </x:c>
      <x:c r="H17" s="102" t="n">
        <x:v>95</x:v>
      </x:c>
      <x:c r="I17" s="102" t="n">
        <x:v>103.9</x:v>
      </x:c>
      <x:c r="J17" s="105" t="str">
        <x:v>ANT</x:v>
      </x:c>
      <x:c r="K17" s="105" t="str">
        <x:v>ANT, ALB, OCO, COL, BOR</x:v>
      </x:c>
      <x:c r="L17" s="105" t="str">
        <x:v>Mercedes, Haas</x:v>
      </x:c>
      <x:c r="M17" s="106" t="n">
        <x:v>2</x:v>
      </x:c>
      <x:c r="N17" s="106" t="n">
        <x:v>2</x:v>
      </x:c>
      <x:c r="O17" s="106" t="n">
        <x:v>0</x:v>
      </x:c>
      <x:c r="P17" s="107" t="n">
        <x:v>319.3</x:v>
      </x:c>
      <x:c r="Q17" s="107" t="n">
        <x:v>3.2</x:v>
      </x:c>
      <x:c r="R17" s="107" t="n">
        <x:v>22</x:v>
      </x:c>
      <x:c r="S17" s="106" t="n">
        <x:v>337</x:v>
      </x:c>
      <x:c r="T17" s="105" t="str">
        <x:v>RUS (George Russell) → ANT (Kimi Antonelli)
Williams → Haas</x:v>
      </x:c>
      <x:c r="U17" s="105" t="str">
        <x:v>RUS (George Russell) → ANT (Kimi Antonelli): raised approximate per-asset strategy/risk utility by +2.7; projection +2.7 pts; released $4.2M; became the projected 2x captain.
Williams → Haas: raised approximate per-asset strategy/risk utility by +1.2; projection +1.2 pts; released $4.6M.</x:v>
      </x:c>
    </x:row>
    <x:row r="18" ht="52" customHeight="1">
      <x:c r="A18" s="101" t="str">
        <x:v>Max Points</x:v>
      </x:c>
      <x:c r="B18" s="101" t="str">
        <x:v>Minimal risk accepted</x:v>
      </x:c>
      <x:c r="C18" s="101" t="n">
        <x:v>3</x:v>
      </x:c>
      <x:c r="D18" s="101" t="str">
        <x:v>Japanese Grand Prix</x:v>
      </x:c>
      <x:c r="E18" s="101" t="str">
        <x:v>reconstructed</x:v>
      </x:c>
      <x:c r="F18" s="101" t="str"/>
      <x:c r="G18" s="102" t="n">
        <x:v>103.9</x:v>
      </x:c>
      <x:c r="H18" s="102" t="n">
        <x:v>91.6</x:v>
      </x:c>
      <x:c r="I18" s="102" t="n">
        <x:v>105.9</x:v>
      </x:c>
      <x:c r="J18" s="105" t="str">
        <x:v>ANT</x:v>
      </x:c>
      <x:c r="K18" s="105" t="str">
        <x:v>ANT, OCO, LIN, COL, BOR</x:v>
      </x:c>
      <x:c r="L18" s="105" t="str">
        <x:v>Mercedes, Haas</x:v>
      </x:c>
      <x:c r="M18" s="106" t="n">
        <x:v>1</x:v>
      </x:c>
      <x:c r="N18" s="106" t="n">
        <x:v>1</x:v>
      </x:c>
      <x:c r="O18" s="106" t="n">
        <x:v>0</x:v>
      </x:c>
      <x:c r="P18" s="107" t="n">
        <x:v>233.3</x:v>
      </x:c>
      <x:c r="Q18" s="107" t="n">
        <x:v>2.4</x:v>
      </x:c>
      <x:c r="R18" s="107" t="n">
        <x:v>17.5</x:v>
      </x:c>
      <x:c r="S18" s="106" t="n">
        <x:v>205</x:v>
      </x:c>
      <x:c r="T18" s="105" t="str">
        <x:v>ALB (Alex Albon) → LIN (Arvid Lindblad)</x:v>
      </x:c>
      <x:c r="U18" s="105" t="str">
        <x:v>ALB (Alex Albon) → LIN (Arvid Lindblad): raised approximate per-asset strategy/risk utility by +15.8; projection +7.8 pts; forecast price change +1.2M; negative-P5 exposure -4.0; released $3.4M.</x:v>
      </x:c>
    </x:row>
    <x:row r="19" ht="52" customHeight="1">
      <x:c r="A19" s="101" t="str">
        <x:v>Max Points</x:v>
      </x:c>
      <x:c r="B19" s="101" t="str">
        <x:v>Minimal risk accepted</x:v>
      </x:c>
      <x:c r="C19" s="101" t="n">
        <x:v>6</x:v>
      </x:c>
      <x:c r="D19" s="101" t="str">
        <x:v>Miami Grand Prix</x:v>
      </x:c>
      <x:c r="E19" s="101" t="str">
        <x:v>genuine</x:v>
      </x:c>
      <x:c r="F19" s="101" t="str"/>
      <x:c r="G19" s="102" t="n">
        <x:v>105.9</x:v>
      </x:c>
      <x:c r="H19" s="102" t="n">
        <x:v>105.5</x:v>
      </x:c>
      <x:c r="I19" s="102" t="n">
        <x:v>108</x:v>
      </x:c>
      <x:c r="J19" s="105" t="str">
        <x:v>ANT</x:v>
      </x:c>
      <x:c r="K19" s="105" t="str">
        <x:v>ANT, LEC, OCO, LIN, COL</x:v>
      </x:c>
      <x:c r="L19" s="105" t="str">
        <x:v>Ferrari, Haas</x:v>
      </x:c>
      <x:c r="M19" s="106" t="n">
        <x:v>2</x:v>
      </x:c>
      <x:c r="N19" s="106" t="n">
        <x:v>1</x:v>
      </x:c>
      <x:c r="O19" s="106" t="n">
        <x:v>10</x:v>
      </x:c>
      <x:c r="P19" s="107" t="n">
        <x:v>355.9</x:v>
      </x:c>
      <x:c r="Q19" s="107" t="n">
        <x:v>3.3</x:v>
      </x:c>
      <x:c r="R19" s="107" t="n">
        <x:v>5</x:v>
      </x:c>
      <x:c r="S19" s="106" t="n">
        <x:v>204</x:v>
      </x:c>
      <x:c r="T19" s="105" t="str">
        <x:v>BOR (Gabriel Bortoleto) → LEC (Charles Leclerc)
Mercedes → Ferrari</x:v>
      </x:c>
      <x:c r="U19" s="105" t="str">
        <x:v>BOR (Gabriel Bortoleto) → LEC (Charles Leclerc): raised approximate per-asset strategy/risk utility by +53.9; projection +33.9 pts; forecast price change +0.9M; negative-P5 exposure -10.0; spent $17.9M more.
Mercedes → Ferrari: was -8.2 utility on this explanatory pairing but enabled the higher-utility seven-asset lineup; gave up 8.2 projected pts; released $6.0M.</x:v>
      </x:c>
    </x:row>
    <x:row r="20" ht="52" customHeight="1">
      <x:c r="A20" s="101" t="str">
        <x:v>Max Points</x:v>
      </x:c>
      <x:c r="B20" s="101" t="str">
        <x:v>Minimal risk accepted</x:v>
      </x:c>
      <x:c r="C20" s="101" t="n">
        <x:v>7</x:v>
      </x:c>
      <x:c r="D20" s="101" t="str">
        <x:v>Canadian Grand Prix</x:v>
      </x:c>
      <x:c r="E20" s="101" t="str">
        <x:v>genuine</x:v>
      </x:c>
      <x:c r="F20" s="101" t="str"/>
      <x:c r="G20" s="102" t="n">
        <x:v>108</x:v>
      </x:c>
      <x:c r="H20" s="102" t="n">
        <x:v>107.9</x:v>
      </x:c>
      <x:c r="I20" s="102" t="n">
        <x:v>109.3</x:v>
      </x:c>
      <x:c r="J20" s="105" t="str">
        <x:v>ANT</x:v>
      </x:c>
      <x:c r="K20" s="105" t="str">
        <x:v>ANT, OCO, LIN, COL, BOR</x:v>
      </x:c>
      <x:c r="L20" s="105" t="str">
        <x:v>McLaren, Ferrari</x:v>
      </x:c>
      <x:c r="M20" s="106" t="n">
        <x:v>2</x:v>
      </x:c>
      <x:c r="N20" s="106" t="n">
        <x:v>1</x:v>
      </x:c>
      <x:c r="O20" s="106" t="n">
        <x:v>10</x:v>
      </x:c>
      <x:c r="P20" s="107" t="n">
        <x:v>329.8</x:v>
      </x:c>
      <x:c r="Q20" s="107" t="n">
        <x:v>1.7</x:v>
      </x:c>
      <x:c r="R20" s="107" t="n">
        <x:v>28</x:v>
      </x:c>
      <x:c r="S20" s="106" t="n">
        <x:v>238</x:v>
      </x:c>
      <x:c r="T20" s="105" t="str">
        <x:v>LEC (Charles Leclerc) → BOR (Gabriel Bortoleto)
Haas → McLaren</x:v>
      </x:c>
      <x:c r="U20" s="105" t="str">
        <x:v>LEC (Charles Leclerc) → BOR (Gabriel Bortoleto): was -43.4 utility on this explanatory pairing but enabled the higher-utility seven-asset lineup; gave up 23.4 projected pts; forecast price change -0.1M; negative-P5 exposure +10.0; released $18.8M.
Haas → McLaren: raised approximate per-asset strategy/risk utility by +78.4; projection +69.4 pts; forecast price change -0.3M; negative-P5 exposure -4.5; spent $19.1M more.</x:v>
      </x:c>
    </x:row>
    <x:row r="21" ht="52" customHeight="1">
      <x:c r="A21" s="101" t="str">
        <x:v>Max Points</x:v>
      </x:c>
      <x:c r="B21" s="101" t="str">
        <x:v>Minimal risk accepted</x:v>
      </x:c>
      <x:c r="C21" s="101" t="n">
        <x:v>8</x:v>
      </x:c>
      <x:c r="D21" s="101" t="str">
        <x:v>Monaco Grand Prix</x:v>
      </x:c>
      <x:c r="E21" s="101" t="str">
        <x:v>genuine</x:v>
      </x:c>
      <x:c r="F21" s="101" t="str">
        <x:v>limitless</x:v>
      </x:c>
      <x:c r="G21" s="102" t="n">
        <x:v>109.3</x:v>
      </x:c>
      <x:c r="H21" s="102" t="n">
        <x:v>181.5</x:v>
      </x:c>
      <x:c r="I21" s="102" t="n">
        <x:v>110.6</x:v>
      </x:c>
      <x:c r="J21" s="105" t="str">
        <x:v>LEC</x:v>
      </x:c>
      <x:c r="K21" s="105" t="str">
        <x:v>RUS, PIA, ANT, LEC, HAM</x:v>
      </x:c>
      <x:c r="L21" s="105" t="str">
        <x:v>Mercedes, Ferrari</x:v>
      </x:c>
      <x:c r="M21" s="106" t="n">
        <x:v>0</x:v>
      </x:c>
      <x:c r="N21" s="106" t="n">
        <x:v>1</x:v>
      </x:c>
      <x:c r="O21" s="106" t="n">
        <x:v>0</x:v>
      </x:c>
      <x:c r="P21" s="107" t="n">
        <x:v>310.6</x:v>
      </x:c>
      <x:c r="Q21" s="107" t="n">
        <x:v>1.3</x:v>
      </x:c>
      <x:c r="R21" s="107" t="n">
        <x:v>6</x:v>
      </x:c>
      <x:c r="S21" s="106" t="n">
        <x:v>171</x:v>
      </x:c>
      <x:c r="T21" s="105" t="str">
        <x:v>Temporary Limitless lineup; owned team reverted</x:v>
      </x:c>
      <x:c r="U21" s="105" t="str">
        <x:v>Limitless temporarily added HAM (Lewis Hamilton), LEC (Charles Leclerc), PIA (Oscar Piastri), RUS (George Russell), Mercedes. Most qualifying-dependent completed circuit: 10/10 overtaking difficulty, where an unrestricted premium lineup should create the largest advantage over budget-constrained teams. The owned team reverted after the round.</x:v>
      </x:c>
    </x:row>
    <x:row r="22" ht="52" customHeight="1">
      <x:c r="A22" s="101" t="str">
        <x:v>Max Points</x:v>
      </x:c>
      <x:c r="B22" s="101" t="str">
        <x:v>Minimal risk accepted</x:v>
      </x:c>
      <x:c r="C22" s="101" t="n">
        <x:v>9</x:v>
      </x:c>
      <x:c r="D22" s="101" t="str">
        <x:v>Spanish Grand Prix</x:v>
      </x:c>
      <x:c r="E22" s="101" t="str">
        <x:v>genuine</x:v>
      </x:c>
      <x:c r="F22" s="101" t="str"/>
      <x:c r="G22" s="102" t="n">
        <x:v>110.6</x:v>
      </x:c>
      <x:c r="H22" s="102" t="n">
        <x:v>110.5</x:v>
      </x:c>
      <x:c r="I22" s="102" t="n">
        <x:v>112.3</x:v>
      </x:c>
      <x:c r="J22" s="105" t="str">
        <x:v>ANT</x:v>
      </x:c>
      <x:c r="K22" s="105" t="str">
        <x:v>ANT, OCO, LIN, COL, BOR</x:v>
      </x:c>
      <x:c r="L22" s="105" t="str">
        <x:v>McLaren, Ferrari</x:v>
      </x:c>
      <x:c r="M22" s="106" t="n">
        <x:v>0</x:v>
      </x:c>
      <x:c r="N22" s="106" t="n">
        <x:v>2</x:v>
      </x:c>
      <x:c r="O22" s="106" t="n">
        <x:v>0</x:v>
      </x:c>
      <x:c r="P22" s="107" t="n">
        <x:v>223.5</x:v>
      </x:c>
      <x:c r="Q22" s="107" t="n">
        <x:v>0.5</x:v>
      </x:c>
      <x:c r="R22" s="107" t="n">
        <x:v>9</x:v>
      </x:c>
      <x:c r="S22" s="106" t="n">
        <x:v>151</x:v>
      </x:c>
      <x:c r="T22" s="105" t="str">
        <x:v>Hold</x:v>
      </x:c>
      <x:c r="U22" s="105" t="str">
        <x:v>Held the existing team because no permitted transfer improved the manager's lineup-level objective enough after transfer penalties.</x:v>
      </x:c>
    </x:row>
    <x:row r="23" ht="52" customHeight="1">
      <x:c r="A23" s="101" t="str">
        <x:v>Max Points</x:v>
      </x:c>
      <x:c r="B23" s="101" t="str">
        <x:v>Minimal risk accepted</x:v>
      </x:c>
      <x:c r="C23" s="101" t="n">
        <x:v>10</x:v>
      </x:c>
      <x:c r="D23" s="101" t="str">
        <x:v>Austrian Grand Prix</x:v>
      </x:c>
      <x:c r="E23" s="101" t="str">
        <x:v>genuine</x:v>
      </x:c>
      <x:c r="F23" s="101" t="str">
        <x:v>no negative</x:v>
      </x:c>
      <x:c r="G23" s="102" t="n">
        <x:v>112.3</x:v>
      </x:c>
      <x:c r="H23" s="102" t="n">
        <x:v>111.1</x:v>
      </x:c>
      <x:c r="I23" s="102" t="n">
        <x:v>113.6</x:v>
      </x:c>
      <x:c r="J23" s="105" t="str">
        <x:v>HAM</x:v>
      </x:c>
      <x:c r="K23" s="105" t="str">
        <x:v>HAM, OCO, LIN, COL, BOR</x:v>
      </x:c>
      <x:c r="L23" s="105" t="str">
        <x:v>McLaren, Ferrari</x:v>
      </x:c>
      <x:c r="M23" s="106" t="n">
        <x:v>1</x:v>
      </x:c>
      <x:c r="N23" s="106" t="n">
        <x:v>3</x:v>
      </x:c>
      <x:c r="O23" s="106" t="n">
        <x:v>0</x:v>
      </x:c>
      <x:c r="P23" s="107" t="n">
        <x:v>180.1</x:v>
      </x:c>
      <x:c r="Q23" s="107" t="n">
        <x:v>0.9</x:v>
      </x:c>
      <x:c r="R23" s="107" t="n">
        <x:v>9</x:v>
      </x:c>
      <x:c r="S23" s="106" t="n">
        <x:v>187</x:v>
      </x:c>
      <x:c r="T23" s="105" t="str">
        <x:v>ANT (Kimi Antonelli) → HAM (Lewis Hamilton)</x:v>
      </x:c>
      <x:c r="U23" s="105" t="str">
        <x:v>ANT (Kimi Antonelli) → HAM (Lewis Hamilton): raised approximate per-asset strategy/risk utility by +24.0; gave up 4.6 projected pts; forecast price change +0.2M; negative-P5 exposure -14.3; released $1.1M; became the projected 2x captain.
No Negative: Highest combined pre-race attrition signal after accounting for field DNF probability (18.5%), weather DNF multiplier (1.10x), and rain risk (LOW).</x:v>
      </x:c>
    </x:row>
    <x:row r="24" ht="52" customHeight="1">
      <x:c r="A24" s="101" t="str">
        <x:v>Max Points</x:v>
      </x:c>
      <x:c r="B24" s="101" t="str">
        <x:v>Minimal risk accepted</x:v>
      </x:c>
      <x:c r="C24" s="101" t="n">
        <x:v>11</x:v>
      </x:c>
      <x:c r="D24" s="101" t="str">
        <x:v>British Grand Prix</x:v>
      </x:c>
      <x:c r="E24" s="101" t="str">
        <x:v>genuine</x:v>
      </x:c>
      <x:c r="F24" s="101" t="str">
        <x:v>autopilot</x:v>
      </x:c>
      <x:c r="G24" s="102" t="n">
        <x:v>113.6</x:v>
      </x:c>
      <x:c r="H24" s="102" t="n">
        <x:v>112.4</x:v>
      </x:c>
      <x:c r="I24" s="102" t="n">
        <x:v>115.7</x:v>
      </x:c>
      <x:c r="J24" s="105" t="str">
        <x:v>ANT</x:v>
      </x:c>
      <x:c r="K24" s="105" t="str">
        <x:v>VER, ANT, OCO, LIN, BOR</x:v>
      </x:c>
      <x:c r="L24" s="105" t="str">
        <x:v>Ferrari, Racing Bulls</x:v>
      </x:c>
      <x:c r="M24" s="106" t="n">
        <x:v>3</x:v>
      </x:c>
      <x:c r="N24" s="106" t="n">
        <x:v>3</x:v>
      </x:c>
      <x:c r="O24" s="106" t="n">
        <x:v>0</x:v>
      </x:c>
      <x:c r="P24" s="107" t="n">
        <x:v>234.7</x:v>
      </x:c>
      <x:c r="Q24" s="107" t="n">
        <x:v>1.5</x:v>
      </x:c>
      <x:c r="R24" s="107" t="n">
        <x:v>33.6</x:v>
      </x:c>
      <x:c r="S24" s="106" t="n">
        <x:v>243</x:v>
      </x:c>
      <x:c r="T24" s="105" t="str">
        <x:v>COL (Franco Colapinto) → ANT (Kimi Antonelli)
HAM (Lewis Hamilton) → VER (Max Verstappen)
McLaren → Racing Bulls</x:v>
      </x:c>
      <x:c r="U24" s="105" t="str">
        <x:v>COL (Franco Colapinto) → ANT (Kimi Antonelli): raised approximate per-asset strategy/risk utility by +42.5; projection +21.1 pts; forecast price change -0.3M; negative-P5 exposure -10.7; spent $15.6M more; became the projected 2x captain.
HAM (Lewis Hamilton) → VER (Max Verstappen): raised approximate per-asset strategy/risk utility by +8.5; projection +4.5 pts; forecast price change -0.2M; negative-P5 exposure -2.0; spent $3.4M more.
McLaren → Racing Bulls: was -19.2 utility on this explanatory pairing but enabled the higher-utility seven-asset lineup; gave up 14.8 projected pts; forecast price change +0.3M; negative-P5 exposure +2.2; released $19.0M.
Autopilot: Greatest remaining forecast uncertainty between captain candidates.</x:v>
      </x:c>
    </x:row>
    <x:row r="25" ht="52" customHeight="1">
      <x:c r="A25" s="101" t="str">
        <x:v>Max Points</x:v>
      </x:c>
      <x:c r="B25" s="101" t="str">
        <x:v>Minimal risk accepted</x:v>
      </x:c>
      <x:c r="C25" s="101" t="n">
        <x:v>12</x:v>
      </x:c>
      <x:c r="D25" s="101" t="str">
        <x:v>Belgian Grand Prix</x:v>
      </x:c>
      <x:c r="E25" s="101" t="str">
        <x:v>genuine</x:v>
      </x:c>
      <x:c r="F25" s="101" t="str">
        <x:v>wild card</x:v>
      </x:c>
      <x:c r="G25" s="102" t="n">
        <x:v>115.7</x:v>
      </x:c>
      <x:c r="H25" s="102" t="n">
        <x:v>114.6</x:v>
      </x:c>
      <x:c r="I25" s="102" t="n">
        <x:v>118.2</x:v>
      </x:c>
      <x:c r="J25" s="105" t="str">
        <x:v>HAD</x:v>
      </x:c>
      <x:c r="K25" s="105" t="str">
        <x:v>HAM, HAD, LIN, COL, HUL</x:v>
      </x:c>
      <x:c r="L25" s="105" t="str">
        <x:v>Red Bull, Ferrari</x:v>
      </x:c>
      <x:c r="M25" s="106" t="n">
        <x:v>5</x:v>
      </x:c>
      <x:c r="N25" s="106" t="n">
        <x:v>1</x:v>
      </x:c>
      <x:c r="O25" s="106" t="n">
        <x:v>0</x:v>
      </x:c>
      <x:c r="P25" s="107" t="n">
        <x:v>220.9</x:v>
      </x:c>
      <x:c r="Q25" s="107" t="n">
        <x:v>2.5</x:v>
      </x:c>
      <x:c r="R25" s="107" t="n">
        <x:v>70.9</x:v>
      </x:c>
      <x:c r="S25" s="106" t="n">
        <x:v>265</x:v>
      </x:c>
      <x:c r="T25" s="105" t="str">
        <x:v>ANT (Kimi Antonelli) → HAD (Isack Hadjar)
BOR (Gabriel Bortoleto) → HUL (Nico Hulkenberg)
OCO (Esteban Ocon) → COL (Franco Colapinto)
VER (Max Verstappen) → HAM (Lewis Hamilton)
Racing Bulls → Red Bull</x:v>
      </x:c>
      <x:c r="U25" s="105" t="str">
        <x:v>ANT (Kimi Antonelli) → HAD (Isack Hadjar): Wild Card made the permanent rebuild free; Forecasted competitive-order change called for 5 lineup changes and a 27.6-utility improvement; this is the upgrade/order-shift proxy.; was -4.2 utility on this explanatory pairing but enabled the higher-utility seven-asset lineup; projection +10.6 pts; forecast price change +0.5M; negative-P5 exposure +7.4; released $12.0M; became the projected 2x captain.
BOR (Gabriel Bortoleto) → HUL (Nico Hulkenberg): Wild Card made the permanent rebuild free; Forecasted competitive-order change called for 5 lineup changes and a 27.6-utility improvement; this is the upgrade/order-shift proxy.; was -12.4 utility on this explanatory pairing but enabled the higher-utility seven-asset lineup; gave up 4.6 projected pts; forecast price change -0.2M; negative-P5 exposure +3.9; released $3.6M.
OCO (Esteban Ocon) → COL (Franco Colapinto): Wild Card made the permanent rebuild free; Forecasted competitive-order change called for 5 lineup changes and a 27.6-utility improvement; this is the upgrade/order-shift proxy.; raised approximate per-asset strategy/risk utility by +0.9; gave up 0.5 projected pts; forecast price change +0.4M; negative-P5 exposure -0.7; spent $0.1M more.
VER (Max Verstappen) → HAM (Lewis Hamilton): Wild Card made the permanent rebuild free; Forecasted competitive-order change called for 5 lineup changes and a 27.6-utility improvement; this is the upgrade/order-shift proxy.; raised approximate per-asset strategy/risk utility by +5.0; projection +0.8 pts; forecast price change +0.2M; negative-P5 exposure -2.1; released $3.0M.
Racing Bulls → Red Bull: Wild Card made the permanent rebuild free; Forecasted competitive-order change called for 5 lineup changes and a 27.6-utility improvement; this is the upgrade/order-shift proxy.; raised approximate per-asset strategy/risk utility by +64.8; projection +52.0 pts; forecast price change -0.3M; negative-P5 exposure -6.4; spent $18.6M more.</x:v>
      </x:c>
    </x:row>
    <x:row r="26" ht="52" customHeight="1">
      <x:c r="A26" s="101" t="str">
        <x:v>Max Points</x:v>
      </x:c>
      <x:c r="B26" s="101" t="str">
        <x:v>Minimal risk accepted</x:v>
      </x:c>
      <x:c r="C26" s="101" t="n">
        <x:v>13</x:v>
      </x:c>
      <x:c r="D26" s="101" t="str">
        <x:v>Hungarian Grand Prix</x:v>
      </x:c>
      <x:c r="E26" s="101" t="str">
        <x:v>genuine</x:v>
      </x:c>
      <x:c r="F26" s="101" t="str"/>
      <x:c r="G26" s="102" t="n">
        <x:v>118.2</x:v>
      </x:c>
      <x:c r="H26" s="102" t="n">
        <x:v>115.9</x:v>
      </x:c>
      <x:c r="I26" s="102" t="n">
        <x:v>120.6</x:v>
      </x:c>
      <x:c r="J26" s="105" t="str">
        <x:v>HAM</x:v>
      </x:c>
      <x:c r="K26" s="105" t="str">
        <x:v>HAM, HAD, LIN, LAW, HUL</x:v>
      </x:c>
      <x:c r="L26" s="105" t="str">
        <x:v>McLaren, Ferrari</x:v>
      </x:c>
      <x:c r="M26" s="106" t="n">
        <x:v>2</x:v>
      </x:c>
      <x:c r="N26" s="106" t="n">
        <x:v>2</x:v>
      </x:c>
      <x:c r="O26" s="106" t="n">
        <x:v>0</x:v>
      </x:c>
      <x:c r="P26" s="107" t="n">
        <x:v>184.8</x:v>
      </x:c>
      <x:c r="Q26" s="107" t="n">
        <x:v>1.7</x:v>
      </x:c>
      <x:c r="R26" s="107" t="n">
        <x:v>69.2</x:v>
      </x:c>
      <x:c r="S26" s="106" t="n">
        <x:v>200</x:v>
      </x:c>
      <x:c r="T26" s="105" t="str">
        <x:v>COL (Franco Colapinto) → LAW (Liam Lawson)
Red Bull → McLaren</x:v>
      </x:c>
      <x:c r="U26" s="105" t="str">
        <x:v>COL (Franco Colapinto) → LAW (Liam Lawson): raised approximate per-asset strategy/risk utility by +1.8; projection +2.2 pts; negative-P5 exposure +0.2; released $1.3M.
Red Bull → McLaren: raised approximate per-asset strategy/risk utility by +20.7; projection +20.7 pts; spent $0.1M more.</x:v>
      </x:c>
    </x:row>
    <x:row r="27" ht="52" customHeight="1">
      <x:c r="A27" s="101" t="str">
        <x:v>Max Points</x:v>
      </x:c>
      <x:c r="B27" s="101" t="str">
        <x:v>Medium tolerance</x:v>
      </x:c>
      <x:c r="C27" s="101" t="n">
        <x:v>1</x:v>
      </x:c>
      <x:c r="D27" s="101" t="str">
        <x:v>Australian Grand Prix</x:v>
      </x:c>
      <x:c r="E27" s="101" t="str">
        <x:v>reconstructed</x:v>
      </x:c>
      <x:c r="F27" s="101" t="str"/>
      <x:c r="G27" s="102" t="n">
        <x:v>100</x:v>
      </x:c>
      <x:c r="H27" s="102" t="n">
        <x:v>96.7</x:v>
      </x:c>
      <x:c r="I27" s="102" t="n">
        <x:v>102.9</x:v>
      </x:c>
      <x:c r="J27" s="105" t="str">
        <x:v>RUS</x:v>
      </x:c>
      <x:c r="K27" s="105" t="str">
        <x:v>RUS, ALB, OCO, LIN, BOR</x:v>
      </x:c>
      <x:c r="L27" s="105" t="str">
        <x:v>Mercedes, Haas</x:v>
      </x:c>
      <x:c r="M27" s="106" t="n">
        <x:v>0</x:v>
      </x:c>
      <x:c r="N27" s="106" t="n">
        <x:v>0</x:v>
      </x:c>
      <x:c r="O27" s="106" t="n">
        <x:v>0</x:v>
      </x:c>
      <x:c r="P27" s="107" t="n">
        <x:v>228.8</x:v>
      </x:c>
      <x:c r="Q27" s="107" t="n">
        <x:v>2.4</x:v>
      </x:c>
      <x:c r="R27" s="107" t="n">
        <x:v>15.5</x:v>
      </x:c>
      <x:c r="S27" s="106" t="n">
        <x:v>253</x:v>
      </x:c>
      <x:c r="T27" s="105" t="str">
        <x:v>Initial selection</x:v>
      </x:c>
      <x:c r="U27" s="105" t="str">
        <x:v>Initial team selected by the manager philosophy and risk profile under the $100.0M cap.</x:v>
      </x:c>
    </x:row>
    <x:row r="28" ht="52" customHeight="1">
      <x:c r="A28" s="101" t="str">
        <x:v>Max Points</x:v>
      </x:c>
      <x:c r="B28" s="101" t="str">
        <x:v>Medium tolerance</x:v>
      </x:c>
      <x:c r="C28" s="101" t="n">
        <x:v>2</x:v>
      </x:c>
      <x:c r="D28" s="101" t="str">
        <x:v>Chinese Grand Prix</x:v>
      </x:c>
      <x:c r="E28" s="101" t="str">
        <x:v>reconstructed</x:v>
      </x:c>
      <x:c r="F28" s="101" t="str"/>
      <x:c r="G28" s="102" t="n">
        <x:v>102.9</x:v>
      </x:c>
      <x:c r="H28" s="102" t="n">
        <x:v>95</x:v>
      </x:c>
      <x:c r="I28" s="102" t="n">
        <x:v>102.9</x:v>
      </x:c>
      <x:c r="J28" s="105" t="str">
        <x:v>ANT</x:v>
      </x:c>
      <x:c r="K28" s="105" t="str">
        <x:v>ANT, ALB, OCO, COL, BOR</x:v>
      </x:c>
      <x:c r="L28" s="105" t="str">
        <x:v>Mercedes, Haas</x:v>
      </x:c>
      <x:c r="M28" s="106" t="n">
        <x:v>2</x:v>
      </x:c>
      <x:c r="N28" s="106" t="n">
        <x:v>2</x:v>
      </x:c>
      <x:c r="O28" s="106" t="n">
        <x:v>0</x:v>
      </x:c>
      <x:c r="P28" s="107" t="n">
        <x:v>319.3</x:v>
      </x:c>
      <x:c r="Q28" s="107" t="n">
        <x:v>3.2</x:v>
      </x:c>
      <x:c r="R28" s="107" t="n">
        <x:v>22</x:v>
      </x:c>
      <x:c r="S28" s="106" t="n">
        <x:v>337</x:v>
      </x:c>
      <x:c r="T28" s="105" t="str">
        <x:v>LIN (Arvid Lindblad) → COL (Franco Colapinto)
RUS (George Russell) → ANT (Kimi Antonelli)</x:v>
      </x:c>
      <x:c r="U28" s="105" t="str">
        <x:v>LIN (Arvid Lindblad) → COL (Franco Colapinto): raised approximate per-asset strategy/risk utility by +8.6; projection +5.6 pts; negative-P5 exposure -4.0; released $0.4M.
RUS (George Russell) → ANT (Kimi Antonelli): raised approximate per-asset strategy/risk utility by +2.7; projection +2.7 pts; released $4.2M; became the projected 2x captain.</x:v>
      </x:c>
    </x:row>
    <x:row r="29" ht="52" customHeight="1">
      <x:c r="A29" s="101" t="str">
        <x:v>Max Points</x:v>
      </x:c>
      <x:c r="B29" s="101" t="str">
        <x:v>Medium tolerance</x:v>
      </x:c>
      <x:c r="C29" s="101" t="n">
        <x:v>3</x:v>
      </x:c>
      <x:c r="D29" s="101" t="str">
        <x:v>Japanese Grand Prix</x:v>
      </x:c>
      <x:c r="E29" s="101" t="str">
        <x:v>reconstructed</x:v>
      </x:c>
      <x:c r="F29" s="101" t="str"/>
      <x:c r="G29" s="102" t="n">
        <x:v>102.9</x:v>
      </x:c>
      <x:c r="H29" s="102" t="n">
        <x:v>91.6</x:v>
      </x:c>
      <x:c r="I29" s="102" t="n">
        <x:v>104.9</x:v>
      </x:c>
      <x:c r="J29" s="105" t="str">
        <x:v>ANT</x:v>
      </x:c>
      <x:c r="K29" s="105" t="str">
        <x:v>ANT, OCO, LIN, COL, BOR</x:v>
      </x:c>
      <x:c r="L29" s="105" t="str">
        <x:v>Mercedes, Haas</x:v>
      </x:c>
      <x:c r="M29" s="106" t="n">
        <x:v>1</x:v>
      </x:c>
      <x:c r="N29" s="106" t="n">
        <x:v>1</x:v>
      </x:c>
      <x:c r="O29" s="106" t="n">
        <x:v>0</x:v>
      </x:c>
      <x:c r="P29" s="107" t="n">
        <x:v>233.3</x:v>
      </x:c>
      <x:c r="Q29" s="107" t="n">
        <x:v>2.4</x:v>
      </x:c>
      <x:c r="R29" s="107" t="n">
        <x:v>17.5</x:v>
      </x:c>
      <x:c r="S29" s="106" t="n">
        <x:v>205</x:v>
      </x:c>
      <x:c r="T29" s="105" t="str">
        <x:v>ALB (Alex Albon) → LIN (Arvid Lindblad)</x:v>
      </x:c>
      <x:c r="U29" s="105" t="str">
        <x:v>ALB (Alex Albon) → LIN (Arvid Lindblad): raised approximate per-asset strategy/risk utility by +10.8; projection +7.8 pts; forecast price change +1.2M; negative-P5 exposure -4.0; released $3.4M.</x:v>
      </x:c>
    </x:row>
    <x:row r="30" ht="52" customHeight="1">
      <x:c r="A30" s="101" t="str">
        <x:v>Max Points</x:v>
      </x:c>
      <x:c r="B30" s="101" t="str">
        <x:v>Medium tolerance</x:v>
      </x:c>
      <x:c r="C30" s="101" t="n">
        <x:v>6</x:v>
      </x:c>
      <x:c r="D30" s="101" t="str">
        <x:v>Miami Grand Prix</x:v>
      </x:c>
      <x:c r="E30" s="101" t="str">
        <x:v>genuine</x:v>
      </x:c>
      <x:c r="F30" s="101" t="str"/>
      <x:c r="G30" s="102" t="n">
        <x:v>104.9</x:v>
      </x:c>
      <x:c r="H30" s="102" t="n">
        <x:v>103.7</x:v>
      </x:c>
      <x:c r="I30" s="102" t="n">
        <x:v>105.8</x:v>
      </x:c>
      <x:c r="J30" s="105" t="str">
        <x:v>ANT</x:v>
      </x:c>
      <x:c r="K30" s="105" t="str">
        <x:v>ANT, LEC, OCO, LIN, BOR</x:v>
      </x:c>
      <x:c r="L30" s="105" t="str">
        <x:v>Ferrari, Haas</x:v>
      </x:c>
      <x:c r="M30" s="106" t="n">
        <x:v>2</x:v>
      </x:c>
      <x:c r="N30" s="106" t="n">
        <x:v>1</x:v>
      </x:c>
      <x:c r="O30" s="106" t="n">
        <x:v>10</x:v>
      </x:c>
      <x:c r="P30" s="107" t="n">
        <x:v>357.2</x:v>
      </x:c>
      <x:c r="Q30" s="107" t="n">
        <x:v>2.1</x:v>
      </x:c>
      <x:c r="R30" s="107" t="n">
        <x:v>10</x:v>
      </x:c>
      <x:c r="S30" s="106" t="n">
        <x:v>198</x:v>
      </x:c>
      <x:c r="T30" s="105" t="str">
        <x:v>COL (Franco Colapinto) → LEC (Charles Leclerc)
Mercedes → Ferrari</x:v>
      </x:c>
      <x:c r="U30" s="105" t="str">
        <x:v>COL (Franco Colapinto) → LEC (Charles Leclerc): raised approximate per-asset strategy/risk utility by +39.0; projection +35.2 pts; forecast price change -0.3M; negative-P5 exposure -5.0; spent $16.1M more.
Mercedes → Ferrari: was -8.2 utility on this explanatory pairing but enabled the higher-utility seven-asset lineup; gave up 8.2 projected pts; released $6.0M.</x:v>
      </x:c>
    </x:row>
    <x:row r="31" ht="52" customHeight="1">
      <x:c r="A31" s="101" t="str">
        <x:v>Max Points</x:v>
      </x:c>
      <x:c r="B31" s="101" t="str">
        <x:v>Medium tolerance</x:v>
      </x:c>
      <x:c r="C31" s="101" t="n">
        <x:v>7</x:v>
      </x:c>
      <x:c r="D31" s="101" t="str">
        <x:v>Canadian Grand Prix</x:v>
      </x:c>
      <x:c r="E31" s="101" t="str">
        <x:v>genuine</x:v>
      </x:c>
      <x:c r="F31" s="101" t="str"/>
      <x:c r="G31" s="102" t="n">
        <x:v>105.8</x:v>
      </x:c>
      <x:c r="H31" s="102" t="n">
        <x:v>105.2</x:v>
      </x:c>
      <x:c r="I31" s="102" t="n">
        <x:v>107.1</x:v>
      </x:c>
      <x:c r="J31" s="105" t="str">
        <x:v>ANT</x:v>
      </x:c>
      <x:c r="K31" s="105" t="str">
        <x:v>ANT, OCO, LIN, BOR, BOT</x:v>
      </x:c>
      <x:c r="L31" s="105" t="str">
        <x:v>Mercedes, Ferrari</x:v>
      </x:c>
      <x:c r="M31" s="106" t="n">
        <x:v>2</x:v>
      </x:c>
      <x:c r="N31" s="106" t="n">
        <x:v>1</x:v>
      </x:c>
      <x:c r="O31" s="106" t="n">
        <x:v>10</x:v>
      </x:c>
      <x:c r="P31" s="107" t="n">
        <x:v>324.3</x:v>
      </x:c>
      <x:c r="Q31" s="107" t="n">
        <x:v>0.5</x:v>
      </x:c>
      <x:c r="R31" s="107" t="n">
        <x:v>43</x:v>
      </x:c>
      <x:c r="S31" s="106" t="n">
        <x:v>268</x:v>
      </x:c>
      <x:c r="T31" s="105" t="str">
        <x:v>LEC (Charles Leclerc) → BOT (Valtteri Bottas)
Haas → Mercedes</x:v>
      </x:c>
      <x:c r="U31" s="105" t="str">
        <x:v>LEC (Charles Leclerc) → BOT (Valtteri Bottas): was -45.6 utility on this explanatory pairing but enabled the higher-utility seven-asset lineup; gave up 29.9 projected pts; forecast price change -0.9M; negative-P5 exposure +21.0; released $20.1M.
Haas → Mercedes: raised approximate per-asset strategy/risk utility by +82.8; projection +79.4 pts; forecast price change -0.3M; negative-P5 exposure -4.5; spent $20.7M more.</x:v>
      </x:c>
    </x:row>
    <x:row r="32" ht="52" customHeight="1">
      <x:c r="A32" s="101" t="str">
        <x:v>Max Points</x:v>
      </x:c>
      <x:c r="B32" s="101" t="str">
        <x:v>Medium tolerance</x:v>
      </x:c>
      <x:c r="C32" s="101" t="n">
        <x:v>8</x:v>
      </x:c>
      <x:c r="D32" s="101" t="str">
        <x:v>Monaco Grand Prix</x:v>
      </x:c>
      <x:c r="E32" s="101" t="str">
        <x:v>genuine</x:v>
      </x:c>
      <x:c r="F32" s="101" t="str">
        <x:v>limitless</x:v>
      </x:c>
      <x:c r="G32" s="102" t="n">
        <x:v>107.1</x:v>
      </x:c>
      <x:c r="H32" s="102" t="n">
        <x:v>181.5</x:v>
      </x:c>
      <x:c r="I32" s="102" t="n">
        <x:v>107.2</x:v>
      </x:c>
      <x:c r="J32" s="105" t="str">
        <x:v>LEC</x:v>
      </x:c>
      <x:c r="K32" s="105" t="str">
        <x:v>RUS, PIA, ANT, LEC, HAM</x:v>
      </x:c>
      <x:c r="L32" s="105" t="str">
        <x:v>Mercedes, Ferrari</x:v>
      </x:c>
      <x:c r="M32" s="106" t="n">
        <x:v>0</x:v>
      </x:c>
      <x:c r="N32" s="106" t="n">
        <x:v>1</x:v>
      </x:c>
      <x:c r="O32" s="106" t="n">
        <x:v>0</x:v>
      </x:c>
      <x:c r="P32" s="107" t="n">
        <x:v>310.6</x:v>
      </x:c>
      <x:c r="Q32" s="107" t="n">
        <x:v>1.3</x:v>
      </x:c>
      <x:c r="R32" s="107" t="n">
        <x:v>6</x:v>
      </x:c>
      <x:c r="S32" s="106" t="n">
        <x:v>171</x:v>
      </x:c>
      <x:c r="T32" s="105" t="str">
        <x:v>Temporary Limitless lineup; owned team reverted</x:v>
      </x:c>
      <x:c r="U32" s="105" t="str">
        <x:v>Limitless temporarily added HAM (Lewis Hamilton), LEC (Charles Leclerc), PIA (Oscar Piastri), RUS (George Russell). Most qualifying-dependent completed circuit: 10/10 overtaking difficulty, where an unrestricted premium lineup should create the largest advantage over budget-constrained teams. The owned team reverted after the round.</x:v>
      </x:c>
    </x:row>
    <x:row r="33" ht="52" customHeight="1">
      <x:c r="A33" s="101" t="str">
        <x:v>Max Points</x:v>
      </x:c>
      <x:c r="B33" s="101" t="str">
        <x:v>Medium tolerance</x:v>
      </x:c>
      <x:c r="C33" s="101" t="n">
        <x:v>9</x:v>
      </x:c>
      <x:c r="D33" s="101" t="str">
        <x:v>Spanish Grand Prix</x:v>
      </x:c>
      <x:c r="E33" s="101" t="str">
        <x:v>genuine</x:v>
      </x:c>
      <x:c r="F33" s="101" t="str"/>
      <x:c r="G33" s="102" t="n">
        <x:v>107.2</x:v>
      </x:c>
      <x:c r="H33" s="102" t="n">
        <x:v>105.9</x:v>
      </x:c>
      <x:c r="I33" s="102" t="n">
        <x:v>108.1</x:v>
      </x:c>
      <x:c r="J33" s="105" t="str">
        <x:v>ANT</x:v>
      </x:c>
      <x:c r="K33" s="105" t="str">
        <x:v>ANT, OCO, LIN, BOR, HUL</x:v>
      </x:c>
      <x:c r="L33" s="105" t="str">
        <x:v>Mercedes, Ferrari</x:v>
      </x:c>
      <x:c r="M33" s="106" t="n">
        <x:v>1</x:v>
      </x:c>
      <x:c r="N33" s="106" t="n">
        <x:v>2</x:v>
      </x:c>
      <x:c r="O33" s="106" t="n">
        <x:v>0</x:v>
      </x:c>
      <x:c r="P33" s="107" t="n">
        <x:v>225.1</x:v>
      </x:c>
      <x:c r="Q33" s="107" t="n">
        <x:v>0.1</x:v>
      </x:c>
      <x:c r="R33" s="107" t="n">
        <x:v>18</x:v>
      </x:c>
      <x:c r="S33" s="106" t="n">
        <x:v>99</x:v>
      </x:c>
      <x:c r="T33" s="105" t="str">
        <x:v>BOT (Valtteri Bottas) → HUL (Nico Hulkenberg)</x:v>
      </x:c>
      <x:c r="U33" s="105" t="str">
        <x:v>BOT (Valtteri Bottas) → HUL (Nico Hulkenberg): raised approximate per-asset strategy/risk utility by +4.2; projection +4.2 pts; forecast price change +0.4M; released $0.7M.</x:v>
      </x:c>
    </x:row>
    <x:row r="34" ht="52" customHeight="1">
      <x:c r="A34" s="101" t="str">
        <x:v>Max Points</x:v>
      </x:c>
      <x:c r="B34" s="101" t="str">
        <x:v>Medium tolerance</x:v>
      </x:c>
      <x:c r="C34" s="101" t="n">
        <x:v>10</x:v>
      </x:c>
      <x:c r="D34" s="101" t="str">
        <x:v>Austrian Grand Prix</x:v>
      </x:c>
      <x:c r="E34" s="101" t="str">
        <x:v>genuine</x:v>
      </x:c>
      <x:c r="F34" s="101" t="str">
        <x:v>no negative</x:v>
      </x:c>
      <x:c r="G34" s="102" t="n">
        <x:v>108.1</x:v>
      </x:c>
      <x:c r="H34" s="102" t="n">
        <x:v>105.7</x:v>
      </x:c>
      <x:c r="I34" s="102" t="n">
        <x:v>109.6</x:v>
      </x:c>
      <x:c r="J34" s="105" t="str">
        <x:v>HAM</x:v>
      </x:c>
      <x:c r="K34" s="105" t="str">
        <x:v>HAM, OCO, LIN, BOR, HUL</x:v>
      </x:c>
      <x:c r="L34" s="105" t="str">
        <x:v>Mercedes, Ferrari</x:v>
      </x:c>
      <x:c r="M34" s="106" t="n">
        <x:v>1</x:v>
      </x:c>
      <x:c r="N34" s="106" t="n">
        <x:v>2</x:v>
      </x:c>
      <x:c r="O34" s="106" t="n">
        <x:v>0</x:v>
      </x:c>
      <x:c r="P34" s="107" t="n">
        <x:v>200.3</x:v>
      </x:c>
      <x:c r="Q34" s="107" t="n">
        <x:v>1.5</x:v>
      </x:c>
      <x:c r="R34" s="107" t="n">
        <x:v>32</x:v>
      </x:c>
      <x:c r="S34" s="106" t="n">
        <x:v>218</x:v>
      </x:c>
      <x:c r="T34" s="105" t="str">
        <x:v>ANT (Kimi Antonelli) → HAM (Lewis Hamilton)</x:v>
      </x:c>
      <x:c r="U34" s="105" t="str">
        <x:v>ANT (Kimi Antonelli) → HAM (Lewis Hamilton): raised approximate per-asset strategy/risk utility by +6.1; gave up 4.6 projected pts; forecast price change +0.2M; negative-P5 exposure -14.3; released $1.1M; became the projected 2x captain.
No Negative: Highest combined pre-race attrition signal after accounting for field DNF probability (18.5%), weather DNF multiplier (1.10x), and rain risk (LOW).</x:v>
      </x:c>
    </x:row>
    <x:row r="35" ht="52" customHeight="1">
      <x:c r="A35" s="101" t="str">
        <x:v>Max Points</x:v>
      </x:c>
      <x:c r="B35" s="101" t="str">
        <x:v>Medium tolerance</x:v>
      </x:c>
      <x:c r="C35" s="101" t="n">
        <x:v>11</x:v>
      </x:c>
      <x:c r="D35" s="101" t="str">
        <x:v>British Grand Prix</x:v>
      </x:c>
      <x:c r="E35" s="101" t="str">
        <x:v>genuine</x:v>
      </x:c>
      <x:c r="F35" s="101" t="str"/>
      <x:c r="G35" s="102" t="n">
        <x:v>109.6</x:v>
      </x:c>
      <x:c r="H35" s="102" t="n">
        <x:v>108.1</x:v>
      </x:c>
      <x:c r="I35" s="102" t="n">
        <x:v>111.5</x:v>
      </x:c>
      <x:c r="J35" s="105" t="str">
        <x:v>ANT</x:v>
      </x:c>
      <x:c r="K35" s="105" t="str">
        <x:v>ANT, OCO, LIN, BOR, HUL</x:v>
      </x:c>
      <x:c r="L35" s="105" t="str">
        <x:v>Mercedes, Ferrari</x:v>
      </x:c>
      <x:c r="M35" s="106" t="n">
        <x:v>1</x:v>
      </x:c>
      <x:c r="N35" s="106" t="n">
        <x:v>2</x:v>
      </x:c>
      <x:c r="O35" s="106" t="n">
        <x:v>0</x:v>
      </x:c>
      <x:c r="P35" s="107" t="n">
        <x:v>245.1</x:v>
      </x:c>
      <x:c r="Q35" s="107" t="n">
        <x:v>1.1</x:v>
      </x:c>
      <x:c r="R35" s="107" t="n">
        <x:v>50.6</x:v>
      </x:c>
      <x:c r="S35" s="106" t="n">
        <x:v>276</x:v>
      </x:c>
      <x:c r="T35" s="105" t="str">
        <x:v>HAM (Lewis Hamilton) → ANT (Kimi Antonelli)</x:v>
      </x:c>
      <x:c r="U35" s="105" t="str">
        <x:v>HAM (Lewis Hamilton) → ANT (Kimi Antonelli): raised approximate per-asset strategy/risk utility by +2.5; projection +1.0 pts; forecast price change -0.4M; negative-P5 exposure -2.0; spent $0.9M more; became the projected 2x captain.</x:v>
      </x:c>
    </x:row>
    <x:row r="36" ht="52" customHeight="1">
      <x:c r="A36" s="101" t="str">
        <x:v>Max Points</x:v>
      </x:c>
      <x:c r="B36" s="101" t="str">
        <x:v>Medium tolerance</x:v>
      </x:c>
      <x:c r="C36" s="101" t="n">
        <x:v>12</x:v>
      </x:c>
      <x:c r="D36" s="101" t="str">
        <x:v>Belgian Grand Prix</x:v>
      </x:c>
      <x:c r="E36" s="101" t="str">
        <x:v>genuine</x:v>
      </x:c>
      <x:c r="F36" s="101" t="str">
        <x:v>autopilot</x:v>
      </x:c>
      <x:c r="G36" s="102" t="n">
        <x:v>111.5</x:v>
      </x:c>
      <x:c r="H36" s="102" t="n">
        <x:v>111.3</x:v>
      </x:c>
      <x:c r="I36" s="102" t="n">
        <x:v>114.2</x:v>
      </x:c>
      <x:c r="J36" s="105" t="str">
        <x:v>ANT</x:v>
      </x:c>
      <x:c r="K36" s="105" t="str">
        <x:v>ANT, HAD, LIN, BOR, HUL</x:v>
      </x:c>
      <x:c r="L36" s="105" t="str">
        <x:v>Red Bull, Ferrari</x:v>
      </x:c>
      <x:c r="M36" s="106" t="n">
        <x:v>2</x:v>
      </x:c>
      <x:c r="N36" s="106" t="n">
        <x:v>2</x:v>
      </x:c>
      <x:c r="O36" s="106" t="n">
        <x:v>0</x:v>
      </x:c>
      <x:c r="P36" s="107" t="n">
        <x:v>217.7</x:v>
      </x:c>
      <x:c r="Q36" s="107" t="n">
        <x:v>2.1</x:v>
      </x:c>
      <x:c r="R36" s="107" t="n">
        <x:v>70.1</x:v>
      </x:c>
      <x:c r="S36" s="106" t="n">
        <x:v>281</x:v>
      </x:c>
      <x:c r="T36" s="105" t="str">
        <x:v>OCO (Esteban Ocon) → HAD (Isack Hadjar)
Mercedes → Red Bull</x:v>
      </x:c>
      <x:c r="U36" s="105" t="str">
        <x:v>OCO (Esteban Ocon) → HAD (Isack Hadjar): raised approximate per-asset strategy/risk utility by +30.6; projection +30.1 pts; forecast price change +0.4M; negative-P5 exposure -0.7; spent $3.0M more.
Mercedes → Red Bull: raised approximate per-asset strategy/risk utility by +9.3; projection +9.3 pts; released $1.7M.
Autopilot: Greatest remaining forecast uncertainty between captain candidates.</x:v>
      </x:c>
    </x:row>
    <x:row r="37" ht="52" customHeight="1">
      <x:c r="A37" s="101" t="str">
        <x:v>Max Points</x:v>
      </x:c>
      <x:c r="B37" s="101" t="str">
        <x:v>Medium tolerance</x:v>
      </x:c>
      <x:c r="C37" s="101" t="n">
        <x:v>13</x:v>
      </x:c>
      <x:c r="D37" s="101" t="str">
        <x:v>Hungarian Grand Prix</x:v>
      </x:c>
      <x:c r="E37" s="101" t="str">
        <x:v>genuine</x:v>
      </x:c>
      <x:c r="F37" s="101" t="str"/>
      <x:c r="G37" s="102" t="n">
        <x:v>114.2</x:v>
      </x:c>
      <x:c r="H37" s="102" t="n">
        <x:v>113.4</x:v>
      </x:c>
      <x:c r="I37" s="102" t="n">
        <x:v>116.6</x:v>
      </x:c>
      <x:c r="J37" s="105" t="str">
        <x:v>HAM</x:v>
      </x:c>
      <x:c r="K37" s="105" t="str">
        <x:v>HAM, HAD, LIN, BOR, HUL</x:v>
      </x:c>
      <x:c r="L37" s="105" t="str">
        <x:v>McLaren, Ferrari</x:v>
      </x:c>
      <x:c r="M37" s="106" t="n">
        <x:v>2</x:v>
      </x:c>
      <x:c r="N37" s="106" t="n">
        <x:v>1</x:v>
      </x:c>
      <x:c r="O37" s="106" t="n">
        <x:v>10</x:v>
      </x:c>
      <x:c r="P37" s="107" t="n">
        <x:v>182.4</x:v>
      </x:c>
      <x:c r="Q37" s="107" t="n">
        <x:v>1.7</x:v>
      </x:c>
      <x:c r="R37" s="107" t="n">
        <x:v>68.3</x:v>
      </x:c>
      <x:c r="S37" s="106" t="n">
        <x:v>187</x:v>
      </x:c>
      <x:c r="T37" s="105" t="str">
        <x:v>ANT (Kimi Antonelli) → HAM (Lewis Hamilton)
Red Bull → McLaren</x:v>
      </x:c>
      <x:c r="U37" s="105" t="str">
        <x:v>ANT (Kimi Antonelli) → HAM (Lewis Hamilton): raised approximate per-asset strategy/risk utility by +9.6; projection +7.8 pts; negative-P5 exposure -2.4; released $0.7M; became the projected 2x captain.
Red Bull → McLaren: raised approximate per-asset strategy/risk utility by +20.7; projection +20.7 pts; spent $0.1M more.</x:v>
      </x:c>
    </x:row>
    <x:row r="38" ht="52" customHeight="1">
      <x:c r="A38" s="101" t="str">
        <x:v>Max Points</x:v>
      </x:c>
      <x:c r="B38" s="101" t="str">
        <x:v>Maximum tolerance</x:v>
      </x:c>
      <x:c r="C38" s="101" t="n">
        <x:v>1</x:v>
      </x:c>
      <x:c r="D38" s="101" t="str">
        <x:v>Australian Grand Prix</x:v>
      </x:c>
      <x:c r="E38" s="101" t="str">
        <x:v>reconstructed</x:v>
      </x:c>
      <x:c r="F38" s="101" t="str"/>
      <x:c r="G38" s="102" t="n">
        <x:v>100</x:v>
      </x:c>
      <x:c r="H38" s="102" t="n">
        <x:v>98.8</x:v>
      </x:c>
      <x:c r="I38" s="102" t="n">
        <x:v>100.7</x:v>
      </x:c>
      <x:c r="J38" s="105" t="str">
        <x:v>RUS</x:v>
      </x:c>
      <x:c r="K38" s="105" t="str">
        <x:v>RUS, HAD, OCO, LIN, BOR</x:v>
      </x:c>
      <x:c r="L38" s="105" t="str">
        <x:v>Mercedes, Audi</x:v>
      </x:c>
      <x:c r="M38" s="106" t="n">
        <x:v>0</x:v>
      </x:c>
      <x:c r="N38" s="106" t="n">
        <x:v>0</x:v>
      </x:c>
      <x:c r="O38" s="106" t="n">
        <x:v>0</x:v>
      </x:c>
      <x:c r="P38" s="107" t="n">
        <x:v>230.2</x:v>
      </x:c>
      <x:c r="Q38" s="107" t="n">
        <x:v>2.4</x:v>
      </x:c>
      <x:c r="R38" s="107" t="n">
        <x:v>40.5</x:v>
      </x:c>
      <x:c r="S38" s="106" t="n">
        <x:v>203</x:v>
      </x:c>
      <x:c r="T38" s="105" t="str">
        <x:v>Initial selection</x:v>
      </x:c>
      <x:c r="U38" s="105" t="str">
        <x:v>Initial team selected by the manager philosophy and risk profile under the $100.0M cap.</x:v>
      </x:c>
    </x:row>
    <x:row r="39" ht="52" customHeight="1">
      <x:c r="A39" s="101" t="str">
        <x:v>Max Points</x:v>
      </x:c>
      <x:c r="B39" s="101" t="str">
        <x:v>Maximum tolerance</x:v>
      </x:c>
      <x:c r="C39" s="101" t="n">
        <x:v>2</x:v>
      </x:c>
      <x:c r="D39" s="101" t="str">
        <x:v>Chinese Grand Prix</x:v>
      </x:c>
      <x:c r="E39" s="101" t="str">
        <x:v>reconstructed</x:v>
      </x:c>
      <x:c r="F39" s="101" t="str"/>
      <x:c r="G39" s="102" t="n">
        <x:v>100.7</x:v>
      </x:c>
      <x:c r="H39" s="102" t="n">
        <x:v>98.7</x:v>
      </x:c>
      <x:c r="I39" s="102" t="n">
        <x:v>100.7</x:v>
      </x:c>
      <x:c r="J39" s="105" t="str">
        <x:v>ANT</x:v>
      </x:c>
      <x:c r="K39" s="105" t="str">
        <x:v>ANT, HAD, ALB, OCO, BOR</x:v>
      </x:c>
      <x:c r="L39" s="105" t="str">
        <x:v>Mercedes, Audi</x:v>
      </x:c>
      <x:c r="M39" s="106" t="n">
        <x:v>2</x:v>
      </x:c>
      <x:c r="N39" s="106" t="n">
        <x:v>2</x:v>
      </x:c>
      <x:c r="O39" s="106" t="n">
        <x:v>0</x:v>
      </x:c>
      <x:c r="P39" s="107" t="n">
        <x:v>314.1</x:v>
      </x:c>
      <x:c r="Q39" s="107" t="n">
        <x:v>2</x:v>
      </x:c>
      <x:c r="R39" s="107" t="n">
        <x:v>37.5</x:v>
      </x:c>
      <x:c r="S39" s="106" t="n">
        <x:v>269</x:v>
      </x:c>
      <x:c r="T39" s="105" t="str">
        <x:v>LIN (Arvid Lindblad) → ALB (Alex Albon)
RUS (George Russell) → ANT (Kimi Antonelli)</x:v>
      </x:c>
      <x:c r="U39" s="105" t="str">
        <x:v>LIN (Arvid Lindblad) → ALB (Alex Albon): raised approximate per-asset strategy/risk utility by +5.9; projection +5.9 pts; forecast price change -0.4M; negative-P5 exposure -4.0; spent $3.4M more.
RUS (George Russell) → ANT (Kimi Antonelli): raised approximate per-asset strategy/risk utility by +2.7; projection +2.7 pts; released $4.2M; became the projected 2x captain.</x:v>
      </x:c>
    </x:row>
    <x:row r="40" ht="52" customHeight="1">
      <x:c r="A40" s="101" t="str">
        <x:v>Max Points</x:v>
      </x:c>
      <x:c r="B40" s="101" t="str">
        <x:v>Maximum tolerance</x:v>
      </x:c>
      <x:c r="C40" s="101" t="n">
        <x:v>3</x:v>
      </x:c>
      <x:c r="D40" s="101" t="str">
        <x:v>Japanese Grand Prix</x:v>
      </x:c>
      <x:c r="E40" s="101" t="str">
        <x:v>reconstructed</x:v>
      </x:c>
      <x:c r="F40" s="101" t="str"/>
      <x:c r="G40" s="102" t="n">
        <x:v>100.7</x:v>
      </x:c>
      <x:c r="H40" s="102" t="n">
        <x:v>95.3</x:v>
      </x:c>
      <x:c r="I40" s="102" t="n">
        <x:v>101.1</x:v>
      </x:c>
      <x:c r="J40" s="105" t="str">
        <x:v>ANT</x:v>
      </x:c>
      <x:c r="K40" s="105" t="str">
        <x:v>ANT, HAD, OCO, LIN, BOR</x:v>
      </x:c>
      <x:c r="L40" s="105" t="str">
        <x:v>Mercedes, Audi</x:v>
      </x:c>
      <x:c r="M40" s="106" t="n">
        <x:v>1</x:v>
      </x:c>
      <x:c r="N40" s="106" t="n">
        <x:v>1</x:v>
      </x:c>
      <x:c r="O40" s="106" t="n">
        <x:v>0</x:v>
      </x:c>
      <x:c r="P40" s="107" t="n">
        <x:v>231.5</x:v>
      </x:c>
      <x:c r="Q40" s="107" t="n">
        <x:v>0.8</x:v>
      </x:c>
      <x:c r="R40" s="107" t="n">
        <x:v>35.5</x:v>
      </x:c>
      <x:c r="S40" s="106" t="n">
        <x:v>233</x:v>
      </x:c>
      <x:c r="T40" s="105" t="str">
        <x:v>ALB (Alex Albon) → LIN (Arvid Lindblad)</x:v>
      </x:c>
      <x:c r="U40" s="105" t="str">
        <x:v>ALB (Alex Albon) → LIN (Arvid Lindblad): raised approximate per-asset strategy/risk utility by +7.8; projection +7.8 pts; forecast price change +1.2M; negative-P5 exposure -4.0; released $3.4M.</x:v>
      </x:c>
    </x:row>
    <x:row r="41" ht="52" customHeight="1">
      <x:c r="A41" s="101" t="str">
        <x:v>Max Points</x:v>
      </x:c>
      <x:c r="B41" s="101" t="str">
        <x:v>Maximum tolerance</x:v>
      </x:c>
      <x:c r="C41" s="101" t="n">
        <x:v>6</x:v>
      </x:c>
      <x:c r="D41" s="101" t="str">
        <x:v>Miami Grand Prix</x:v>
      </x:c>
      <x:c r="E41" s="101" t="str">
        <x:v>genuine</x:v>
      </x:c>
      <x:c r="F41" s="101" t="str"/>
      <x:c r="G41" s="102" t="n">
        <x:v>101.1</x:v>
      </x:c>
      <x:c r="H41" s="102" t="n">
        <x:v>92.4</x:v>
      </x:c>
      <x:c r="I41" s="102" t="n">
        <x:v>102.3</x:v>
      </x:c>
      <x:c r="J41" s="105" t="str">
        <x:v>ANT</x:v>
      </x:c>
      <x:c r="K41" s="105" t="str">
        <x:v>ANT, OCO, LIN, LAW, BOR</x:v>
      </x:c>
      <x:c r="L41" s="105" t="str">
        <x:v>Mercedes, Racing Bulls</x:v>
      </x:c>
      <x:c r="M41" s="106" t="n">
        <x:v>2</x:v>
      </x:c>
      <x:c r="N41" s="106" t="n">
        <x:v>1</x:v>
      </x:c>
      <x:c r="O41" s="106" t="n">
        <x:v>10</x:v>
      </x:c>
      <x:c r="P41" s="107" t="n">
        <x:v>352.8</x:v>
      </x:c>
      <x:c r="Q41" s="107" t="n">
        <x:v>2.4</x:v>
      </x:c>
      <x:c r="R41" s="107" t="n">
        <x:v>10</x:v>
      </x:c>
      <x:c r="S41" s="106" t="n">
        <x:v>185</x:v>
      </x:c>
      <x:c r="T41" s="105" t="str">
        <x:v>HAD (Isack Hadjar) → LAW (Liam Lawson)
Audi → Racing Bulls</x:v>
      </x:c>
      <x:c r="U41" s="105" t="str">
        <x:v>HAD (Isack Hadjar) → LAW (Liam Lawson): raised approximate per-asset strategy/risk utility by +16.0; projection +16.0 pts; forecast price change +0.8M; negative-P5 exposure -18.0; released $5.8M.
Audi → Racing Bulls: raised approximate per-asset strategy/risk utility by +20.0; projection +20.0 pts; spent $2.5M more.</x:v>
      </x:c>
    </x:row>
    <x:row r="42" ht="52" customHeight="1">
      <x:c r="A42" s="101" t="str">
        <x:v>Max Points</x:v>
      </x:c>
      <x:c r="B42" s="101" t="str">
        <x:v>Maximum tolerance</x:v>
      </x:c>
      <x:c r="C42" s="101" t="n">
        <x:v>7</x:v>
      </x:c>
      <x:c r="D42" s="101" t="str">
        <x:v>Canadian Grand Prix</x:v>
      </x:c>
      <x:c r="E42" s="101" t="str">
        <x:v>genuine</x:v>
      </x:c>
      <x:c r="F42" s="101" t="str"/>
      <x:c r="G42" s="102" t="n">
        <x:v>102.3</x:v>
      </x:c>
      <x:c r="H42" s="102" t="n">
        <x:v>101.1</x:v>
      </x:c>
      <x:c r="I42" s="102" t="n">
        <x:v>102.3</x:v>
      </x:c>
      <x:c r="J42" s="105" t="str">
        <x:v>ANT</x:v>
      </x:c>
      <x:c r="K42" s="105" t="str">
        <x:v>ANT, HAD, OCO, LIN, LAW</x:v>
      </x:c>
      <x:c r="L42" s="105" t="str">
        <x:v>Mercedes, Racing Bulls</x:v>
      </x:c>
      <x:c r="M42" s="106" t="n">
        <x:v>1</x:v>
      </x:c>
      <x:c r="N42" s="106" t="n">
        <x:v>1</x:v>
      </x:c>
      <x:c r="O42" s="106" t="n">
        <x:v>0</x:v>
      </x:c>
      <x:c r="P42" s="107" t="n">
        <x:v>307.1</x:v>
      </x:c>
      <x:c r="Q42" s="107" t="n">
        <x:v>0</x:v>
      </x:c>
      <x:c r="R42" s="107" t="n">
        <x:v>41</x:v>
      </x:c>
      <x:c r="S42" s="106" t="n">
        <x:v>243</x:v>
      </x:c>
      <x:c r="T42" s="105" t="str">
        <x:v>BOR (Gabriel Bortoleto) → HAD (Isack Hadjar)</x:v>
      </x:c>
      <x:c r="U42" s="105" t="str">
        <x:v>BOR (Gabriel Bortoleto) → HAD (Isack Hadjar): raised approximate per-asset strategy/risk utility by +12.5; projection +12.5 pts; forecast price change -0.8M; negative-P5 exposure +3.0; spent $7.5M more.</x:v>
      </x:c>
    </x:row>
    <x:row r="43" ht="52" customHeight="1">
      <x:c r="A43" s="101" t="str">
        <x:v>Max Points</x:v>
      </x:c>
      <x:c r="B43" s="101" t="str">
        <x:v>Maximum tolerance</x:v>
      </x:c>
      <x:c r="C43" s="101" t="n">
        <x:v>8</x:v>
      </x:c>
      <x:c r="D43" s="101" t="str">
        <x:v>Monaco Grand Prix</x:v>
      </x:c>
      <x:c r="E43" s="101" t="str">
        <x:v>genuine</x:v>
      </x:c>
      <x:c r="F43" s="101" t="str">
        <x:v>limitless</x:v>
      </x:c>
      <x:c r="G43" s="102" t="n">
        <x:v>102.3</x:v>
      </x:c>
      <x:c r="H43" s="102" t="n">
        <x:v>184.9</x:v>
      </x:c>
      <x:c r="I43" s="102" t="n">
        <x:v>102.7</x:v>
      </x:c>
      <x:c r="J43" s="105" t="str">
        <x:v>LEC</x:v>
      </x:c>
      <x:c r="K43" s="105" t="str">
        <x:v>RUS, VER, ANT, LEC, HAM</x:v>
      </x:c>
      <x:c r="L43" s="105" t="str">
        <x:v>Mercedes, Ferrari</x:v>
      </x:c>
      <x:c r="M43" s="106" t="n">
        <x:v>0</x:v>
      </x:c>
      <x:c r="N43" s="106" t="n">
        <x:v>1</x:v>
      </x:c>
      <x:c r="O43" s="106" t="n">
        <x:v>0</x:v>
      </x:c>
      <x:c r="P43" s="107" t="n">
        <x:v>311.9</x:v>
      </x:c>
      <x:c r="Q43" s="107" t="n">
        <x:v>1.5</x:v>
      </x:c>
      <x:c r="R43" s="107" t="n">
        <x:v>12</x:v>
      </x:c>
      <x:c r="S43" s="106" t="n">
        <x:v>144</x:v>
      </x:c>
      <x:c r="T43" s="105" t="str">
        <x:v>Temporary Limitless lineup; owned team reverted</x:v>
      </x:c>
      <x:c r="U43" s="105" t="str">
        <x:v>Limitless temporarily added HAM (Lewis Hamilton), LEC (Charles Leclerc), RUS (George Russell), VER (Max Verstappen), Ferrari. Most qualifying-dependent completed circuit: 10/10 overtaking difficulty, where an unrestricted premium lineup should create the largest advantage over budget-constrained teams. The owned team reverted after the round.</x:v>
      </x:c>
    </x:row>
    <x:row r="44" ht="52" customHeight="1">
      <x:c r="A44" s="101" t="str">
        <x:v>Max Points</x:v>
      </x:c>
      <x:c r="B44" s="101" t="str">
        <x:v>Maximum tolerance</x:v>
      </x:c>
      <x:c r="C44" s="101" t="n">
        <x:v>9</x:v>
      </x:c>
      <x:c r="D44" s="101" t="str">
        <x:v>Spanish Grand Prix</x:v>
      </x:c>
      <x:c r="E44" s="101" t="str">
        <x:v>genuine</x:v>
      </x:c>
      <x:c r="F44" s="101" t="str"/>
      <x:c r="G44" s="102" t="n">
        <x:v>102.7</x:v>
      </x:c>
      <x:c r="H44" s="102" t="n">
        <x:v>102.2</x:v>
      </x:c>
      <x:c r="I44" s="102" t="n">
        <x:v>103.2</x:v>
      </x:c>
      <x:c r="J44" s="105" t="str">
        <x:v>ANT</x:v>
      </x:c>
      <x:c r="K44" s="105" t="str">
        <x:v>ANT, LIN, LAW, HUL, BOT</x:v>
      </x:c>
      <x:c r="L44" s="105" t="str">
        <x:v>Mercedes, Ferrari</x:v>
      </x:c>
      <x:c r="M44" s="106" t="n">
        <x:v>3</x:v>
      </x:c>
      <x:c r="N44" s="106" t="n">
        <x:v>2</x:v>
      </x:c>
      <x:c r="O44" s="106" t="n">
        <x:v>10</x:v>
      </x:c>
      <x:c r="P44" s="107" t="n">
        <x:v>212.2</x:v>
      </x:c>
      <x:c r="Q44" s="107" t="n">
        <x:v>0.1</x:v>
      </x:c>
      <x:c r="R44" s="107" t="n">
        <x:v>38</x:v>
      </x:c>
      <x:c r="S44" s="106" t="n">
        <x:v>65</x:v>
      </x:c>
      <x:c r="T44" s="105" t="str">
        <x:v>HAD (Isack Hadjar) → BOT (Valtteri Bottas)
OCO (Esteban Ocon) → HUL (Nico Hulkenberg)
Racing Bulls → Ferrari</x:v>
      </x:c>
      <x:c r="U44" s="105" t="str">
        <x:v>HAD (Isack Hadjar) → BOT (Valtteri Bottas): was -10.4 utility on this explanatory pairing but enabled the higher-utility seven-asset lineup; gave up 10.4 projected pts; forecast price change -0.8M; released $7.6M.
OCO (Esteban Ocon) → HUL (Nico Hulkenberg): was -5.6 utility on this explanatory pairing but enabled the higher-utility seven-asset lineup; gave up 5.6 projected pts; forecast price change -0.4M; negative-P5 exposure +11.0; released $6.9M.
Racing Bulls → Ferrari: raised approximate per-asset strategy/risk utility by +42.1; projection +42.1 pts; forecast price change -0.3M; spent $15.2M more.</x:v>
      </x:c>
    </x:row>
    <x:row r="45" ht="52" customHeight="1">
      <x:c r="A45" s="101" t="str">
        <x:v>Max Points</x:v>
      </x:c>
      <x:c r="B45" s="101" t="str">
        <x:v>Maximum tolerance</x:v>
      </x:c>
      <x:c r="C45" s="101" t="n">
        <x:v>10</x:v>
      </x:c>
      <x:c r="D45" s="101" t="str">
        <x:v>Austrian Grand Prix</x:v>
      </x:c>
      <x:c r="E45" s="101" t="str">
        <x:v>genuine</x:v>
      </x:c>
      <x:c r="F45" s="101" t="str">
        <x:v>no negative</x:v>
      </x:c>
      <x:c r="G45" s="102" t="n">
        <x:v>103.2</x:v>
      </x:c>
      <x:c r="H45" s="102" t="n">
        <x:v>102.2</x:v>
      </x:c>
      <x:c r="I45" s="102" t="n">
        <x:v>103.6</x:v>
      </x:c>
      <x:c r="J45" s="105" t="str">
        <x:v>ANT</x:v>
      </x:c>
      <x:c r="K45" s="105" t="str">
        <x:v>ANT, ALB, LIN, HUL, BOT</x:v>
      </x:c>
      <x:c r="L45" s="105" t="str">
        <x:v>Mercedes, Ferrari</x:v>
      </x:c>
      <x:c r="M45" s="106" t="n">
        <x:v>1</x:v>
      </x:c>
      <x:c r="N45" s="106" t="n">
        <x:v>1</x:v>
      </x:c>
      <x:c r="O45" s="106" t="n">
        <x:v>0</x:v>
      </x:c>
      <x:c r="P45" s="107" t="n">
        <x:v>200.6</x:v>
      </x:c>
      <x:c r="Q45" s="107" t="n">
        <x:v>0.1</x:v>
      </x:c>
      <x:c r="R45" s="107" t="n">
        <x:v>92.8</x:v>
      </x:c>
      <x:c r="S45" s="106" t="n">
        <x:v>229</x:v>
      </x:c>
      <x:c r="T45" s="105" t="str">
        <x:v>LAW (Liam Lawson) → ALB (Alex Albon)</x:v>
      </x:c>
      <x:c r="U45" s="105" t="str">
        <x:v>LAW (Liam Lawson) → ALB (Alex Albon): raised approximate per-asset strategy/risk utility by +2.8; projection +2.8 pts; forecast price change -0.4M; negative-P5 exposure +1.3; released $0.5M.
No Negative: Highest combined pre-race attrition signal after accounting for field DNF probability (18.5%), weather DNF multiplier (1.10x), and rain risk (LOW).</x:v>
      </x:c>
    </x:row>
    <x:row r="46" ht="52" customHeight="1">
      <x:c r="A46" s="101" t="str">
        <x:v>Max Points</x:v>
      </x:c>
      <x:c r="B46" s="101" t="str">
        <x:v>Maximum tolerance</x:v>
      </x:c>
      <x:c r="C46" s="101" t="n">
        <x:v>11</x:v>
      </x:c>
      <x:c r="D46" s="101" t="str">
        <x:v>British Grand Prix</x:v>
      </x:c>
      <x:c r="E46" s="101" t="str">
        <x:v>genuine</x:v>
      </x:c>
      <x:c r="F46" s="101" t="str">
        <x:v>autopilot</x:v>
      </x:c>
      <x:c r="G46" s="102" t="n">
        <x:v>103.6</x:v>
      </x:c>
      <x:c r="H46" s="102" t="n">
        <x:v>101</x:v>
      </x:c>
      <x:c r="I46" s="102" t="n">
        <x:v>105.3</x:v>
      </x:c>
      <x:c r="J46" s="105" t="str">
        <x:v>ANT</x:v>
      </x:c>
      <x:c r="K46" s="105" t="str">
        <x:v>ANT, LIN, BOR, HUL, BOT</x:v>
      </x:c>
      <x:c r="L46" s="105" t="str">
        <x:v>Mercedes, Ferrari</x:v>
      </x:c>
      <x:c r="M46" s="106" t="n">
        <x:v>1</x:v>
      </x:c>
      <x:c r="N46" s="106" t="n">
        <x:v>1</x:v>
      </x:c>
      <x:c r="O46" s="106" t="n">
        <x:v>0</x:v>
      </x:c>
      <x:c r="P46" s="107" t="n">
        <x:v>233</x:v>
      </x:c>
      <x:c r="Q46" s="107" t="n">
        <x:v>1.3</x:v>
      </x:c>
      <x:c r="R46" s="107" t="n">
        <x:v>65.1</x:v>
      </x:c>
      <x:c r="S46" s="106" t="n">
        <x:v>262</x:v>
      </x:c>
      <x:c r="T46" s="105" t="str">
        <x:v>ALB (Alex Albon) → BOR (Gabriel Bortoleto)</x:v>
      </x:c>
      <x:c r="U46" s="105" t="str">
        <x:v>ALB (Alex Albon) → BOR (Gabriel Bortoleto): raised approximate per-asset strategy/risk utility by +4.2; projection +4.2 pts; forecast price change +0.8M; negative-P5 exposure -5.4; released $1.6M.
Autopilot: Greatest remaining forecast uncertainty between captain candidates.</x:v>
      </x:c>
    </x:row>
    <x:row r="47" ht="52" customHeight="1">
      <x:c r="A47" s="101" t="str">
        <x:v>Max Points</x:v>
      </x:c>
      <x:c r="B47" s="101" t="str">
        <x:v>Maximum tolerance</x:v>
      </x:c>
      <x:c r="C47" s="101" t="n">
        <x:v>12</x:v>
      </x:c>
      <x:c r="D47" s="101" t="str">
        <x:v>Belgian Grand Prix</x:v>
      </x:c>
      <x:c r="E47" s="101" t="str">
        <x:v>genuine</x:v>
      </x:c>
      <x:c r="F47" s="101" t="str">
        <x:v>wild card</x:v>
      </x:c>
      <x:c r="G47" s="102" t="n">
        <x:v>105.3</x:v>
      </x:c>
      <x:c r="H47" s="102" t="n">
        <x:v>104.3</x:v>
      </x:c>
      <x:c r="I47" s="102" t="n">
        <x:v>106.6</x:v>
      </x:c>
      <x:c r="J47" s="105" t="str">
        <x:v>HAD</x:v>
      </x:c>
      <x:c r="K47" s="105" t="str">
        <x:v>NOR, HAD, STR, HUL, BOT</x:v>
      </x:c>
      <x:c r="L47" s="105" t="str">
        <x:v>Red Bull, Ferrari</x:v>
      </x:c>
      <x:c r="M47" s="106" t="n">
        <x:v>4</x:v>
      </x:c>
      <x:c r="N47" s="106" t="n">
        <x:v>1</x:v>
      </x:c>
      <x:c r="O47" s="106" t="n">
        <x:v>0</x:v>
      </x:c>
      <x:c r="P47" s="107" t="n">
        <x:v>207.4</x:v>
      </x:c>
      <x:c r="Q47" s="107" t="n">
        <x:v>1.3</x:v>
      </x:c>
      <x:c r="R47" s="107" t="n">
        <x:v>85.6</x:v>
      </x:c>
      <x:c r="S47" s="106" t="n">
        <x:v>252</x:v>
      </x:c>
      <x:c r="T47" s="105" t="str">
        <x:v>ANT (Kimi Antonelli) → NOR (Lando Norris)
BOR (Gabriel Bortoleto) → STR (Lance Stroll)
LIN (Arvid Lindblad) → HAD (Isack Hadjar)
Mercedes → Red Bull</x:v>
      </x:c>
      <x:c r="U47" s="105" t="str">
        <x:v>ANT (Kimi Antonelli) → NOR (Lando Norris): Wild Card made the permanent rebuild free; Forecasted competitive-order change called for 4 lineup changes and a 26.6-utility improvement; this is the upgrade/order-shift proxy.; raised approximate per-asset strategy/risk utility by +5.8; projection +5.8 pts; negative-P5 exposure +5.6; spent $0.4M more.
BOR (Gabriel Bortoleto) → STR (Lance Stroll): Wild Card made the permanent rebuild free; Forecasted competitive-order change called for 4 lineup changes and a 26.6-utility improvement; this is the upgrade/order-shift proxy.; was -5.8 utility on this explanatory pairing but enabled the higher-utility seven-asset lineup; gave up 5.8 projected pts; forecast price change -0.2M; negative-P5 exposure +4.6; released $3.6M.
LIN (Arvid Lindblad) → HAD (Isack Hadjar): Wild Card made the permanent rebuild free; Forecasted competitive-order change called for 4 lineup changes and a 26.6-utility improvement; this is the upgrade/order-shift proxy.; raised approximate per-asset strategy/risk utility by +29.4; projection +29.4 pts; negative-P5 exposure +0.5; spent $6.5M more; became the projected 2x captain.
Mercedes → Red Bull: Wild Card made the permanent rebuild free; Forecasted competitive-order change called for 4 lineup changes and a 26.6-utility improvement; this is the upgrade/order-shift proxy.; raised approximate per-asset strategy/risk utility by +9.3; projection +9.3 pts; released $1.7M.</x:v>
      </x:c>
    </x:row>
    <x:row r="48" ht="52" customHeight="1">
      <x:c r="A48" s="101" t="str">
        <x:v>Max Points</x:v>
      </x:c>
      <x:c r="B48" s="101" t="str">
        <x:v>Maximum tolerance</x:v>
      </x:c>
      <x:c r="C48" s="101" t="n">
        <x:v>13</x:v>
      </x:c>
      <x:c r="D48" s="101" t="str">
        <x:v>Hungarian Grand Prix</x:v>
      </x:c>
      <x:c r="E48" s="101" t="str">
        <x:v>genuine</x:v>
      </x:c>
      <x:c r="F48" s="101" t="str"/>
      <x:c r="G48" s="102" t="n">
        <x:v>106.6</x:v>
      </x:c>
      <x:c r="H48" s="102" t="n">
        <x:v>104.8</x:v>
      </x:c>
      <x:c r="I48" s="102" t="n">
        <x:v>107.8</x:v>
      </x:c>
      <x:c r="J48" s="105" t="str">
        <x:v>HAM</x:v>
      </x:c>
      <x:c r="K48" s="105" t="str">
        <x:v>HAM, HAD, STR, HUL, BOT</x:v>
      </x:c>
      <x:c r="L48" s="105" t="str">
        <x:v>McLaren, Ferrari</x:v>
      </x:c>
      <x:c r="M48" s="106" t="n">
        <x:v>2</x:v>
      </x:c>
      <x:c r="N48" s="106" t="n">
        <x:v>2</x:v>
      </x:c>
      <x:c r="O48" s="106" t="n">
        <x:v>0</x:v>
      </x:c>
      <x:c r="P48" s="107" t="n">
        <x:v>170</x:v>
      </x:c>
      <x:c r="Q48" s="107" t="n">
        <x:v>1.3</x:v>
      </x:c>
      <x:c r="R48" s="107" t="n">
        <x:v>78.4</x:v>
      </x:c>
      <x:c r="S48" s="106" t="n">
        <x:v>182</x:v>
      </x:c>
      <x:c r="T48" s="105" t="str">
        <x:v>NOR (Lando Norris) → HAM (Lewis Hamilton)
Red Bull → McLaren</x:v>
      </x:c>
      <x:c r="U48" s="105" t="str">
        <x:v>NOR (Lando Norris) → HAM (Lewis Hamilton): raised approximate per-asset strategy/risk utility by +6.9; projection +6.9 pts; forecast price change -0.2M; negative-P5 exposure -4.6; released $0.9M; became the projected 2x captain.
Red Bull → McLaren: raised approximate per-asset strategy/risk utility by +20.7; projection +20.7 pts; spent $0.1M more.</x:v>
      </x:c>
    </x:row>
    <x:row r="49" ht="52" customHeight="1">
      <x:c r="A49" s="101" t="str">
        <x:v>Balanced</x:v>
      </x:c>
      <x:c r="B49" s="101" t="str">
        <x:v>Total avoidance</x:v>
      </x:c>
      <x:c r="C49" s="101" t="n">
        <x:v>1</x:v>
      </x:c>
      <x:c r="D49" s="101" t="str">
        <x:v>Australian Grand Prix</x:v>
      </x:c>
      <x:c r="E49" s="101" t="str">
        <x:v>reconstructed</x:v>
      </x:c>
      <x:c r="F49" s="101" t="str"/>
      <x:c r="G49" s="102" t="n">
        <x:v>100</x:v>
      </x:c>
      <x:c r="H49" s="102" t="n">
        <x:v>95.2</x:v>
      </x:c>
      <x:c r="I49" s="102" t="n">
        <x:v>103.7</x:v>
      </x:c>
      <x:c r="J49" s="105" t="str">
        <x:v>RUS</x:v>
      </x:c>
      <x:c r="K49" s="105" t="str">
        <x:v>RUS, LEC, ALB, OCO, BOR</x:v>
      </x:c>
      <x:c r="L49" s="105" t="str">
        <x:v>Williams, Haas</x:v>
      </x:c>
      <x:c r="M49" s="106" t="n">
        <x:v>0</x:v>
      </x:c>
      <x:c r="N49" s="106" t="n">
        <x:v>0</x:v>
      </x:c>
      <x:c r="O49" s="106" t="n">
        <x:v>0</x:v>
      </x:c>
      <x:c r="P49" s="107" t="n">
        <x:v>188.7</x:v>
      </x:c>
      <x:c r="Q49" s="107" t="n">
        <x:v>2.6</x:v>
      </x:c>
      <x:c r="R49" s="107" t="n">
        <x:v>11</x:v>
      </x:c>
      <x:c r="S49" s="106" t="n">
        <x:v>191</x:v>
      </x:c>
      <x:c r="T49" s="105" t="str">
        <x:v>Initial selection</x:v>
      </x:c>
      <x:c r="U49" s="105" t="str">
        <x:v>Initial team selected by the manager philosophy and risk profile under the $100.0M cap.</x:v>
      </x:c>
    </x:row>
    <x:row r="50" ht="52" customHeight="1">
      <x:c r="A50" s="101" t="str">
        <x:v>Balanced</x:v>
      </x:c>
      <x:c r="B50" s="101" t="str">
        <x:v>Total avoidance</x:v>
      </x:c>
      <x:c r="C50" s="101" t="n">
        <x:v>2</x:v>
      </x:c>
      <x:c r="D50" s="101" t="str">
        <x:v>Chinese Grand Prix</x:v>
      </x:c>
      <x:c r="E50" s="101" t="str">
        <x:v>reconstructed</x:v>
      </x:c>
      <x:c r="F50" s="101" t="str"/>
      <x:c r="G50" s="102" t="n">
        <x:v>103.7</x:v>
      </x:c>
      <x:c r="H50" s="102" t="n">
        <x:v>103.4</x:v>
      </x:c>
      <x:c r="I50" s="102" t="n">
        <x:v>103.7</x:v>
      </x:c>
      <x:c r="J50" s="105" t="str">
        <x:v>ANT</x:v>
      </x:c>
      <x:c r="K50" s="105" t="str">
        <x:v>ANT, LEC, HAM, ALB, OCO</x:v>
      </x:c>
      <x:c r="L50" s="105" t="str">
        <x:v>Haas, Audi</x:v>
      </x:c>
      <x:c r="M50" s="106" t="n">
        <x:v>3</x:v>
      </x:c>
      <x:c r="N50" s="106" t="n">
        <x:v>2</x:v>
      </x:c>
      <x:c r="O50" s="106" t="n">
        <x:v>10</x:v>
      </x:c>
      <x:c r="P50" s="107" t="n">
        <x:v>263.8</x:v>
      </x:c>
      <x:c r="Q50" s="107" t="n">
        <x:v>2.7</x:v>
      </x:c>
      <x:c r="R50" s="107" t="n">
        <x:v>12.5</x:v>
      </x:c>
      <x:c r="S50" s="106" t="n">
        <x:v>303</x:v>
      </x:c>
      <x:c r="T50" s="105" t="str">
        <x:v>BOR (Gabriel Bortoleto) → HAM (Lewis Hamilton)
RUS (George Russell) → ANT (Kimi Antonelli)
Williams → Audi</x:v>
      </x:c>
      <x:c r="U50" s="105" t="str">
        <x:v>BOR (Gabriel Bortoleto) → HAM (Lewis Hamilton): cut negative-P5 exposure by 9.0, the profile's first priority; projection +12.9 pts; forecast price change -0.5M; negative-P5 exposure -9.0; spent $16.5M more.
RUS (George Russell) → ANT (Kimi Antonelli): preserved the minimum feasible negative-P5 exposure; projection +2.7 pts; released $4.2M; became the projected 2x captain.
Williams → Audi: accepted 5.5 more negative-P5 exposure only as part of the safest feasible full lineup; gave up 3.9 projected pts; negative-P5 exposure +5.5; released $7.8M.</x:v>
      </x:c>
    </x:row>
    <x:row r="51" ht="52" customHeight="1">
      <x:c r="A51" s="101" t="str">
        <x:v>Balanced</x:v>
      </x:c>
      <x:c r="B51" s="101" t="str">
        <x:v>Total avoidance</x:v>
      </x:c>
      <x:c r="C51" s="101" t="n">
        <x:v>3</x:v>
      </x:c>
      <x:c r="D51" s="101" t="str">
        <x:v>Japanese Grand Prix</x:v>
      </x:c>
      <x:c r="E51" s="101" t="str">
        <x:v>reconstructed</x:v>
      </x:c>
      <x:c r="F51" s="101" t="str"/>
      <x:c r="G51" s="102" t="n">
        <x:v>103.7</x:v>
      </x:c>
      <x:c r="H51" s="102" t="n">
        <x:v>102.1</x:v>
      </x:c>
      <x:c r="I51" s="102" t="n">
        <x:v>106.6</x:v>
      </x:c>
      <x:c r="J51" s="105" t="str">
        <x:v>ANT</x:v>
      </x:c>
      <x:c r="K51" s="105" t="str">
        <x:v>ANT, LEC, HAM, OCO, LIN</x:v>
      </x:c>
      <x:c r="L51" s="105" t="str">
        <x:v>Haas, Racing Bulls</x:v>
      </x:c>
      <x:c r="M51" s="106" t="n">
        <x:v>2</x:v>
      </x:c>
      <x:c r="N51" s="106" t="n">
        <x:v>1</x:v>
      </x:c>
      <x:c r="O51" s="106" t="n">
        <x:v>10</x:v>
      </x:c>
      <x:c r="P51" s="107" t="n">
        <x:v>200.1</x:v>
      </x:c>
      <x:c r="Q51" s="107" t="n">
        <x:v>3.3</x:v>
      </x:c>
      <x:c r="R51" s="107" t="n">
        <x:v>12</x:v>
      </x:c>
      <x:c r="S51" s="106" t="n">
        <x:v>164</x:v>
      </x:c>
      <x:c r="T51" s="105" t="str">
        <x:v>ALB (Alex Albon) → LIN (Arvid Lindblad)
Audi → Racing Bulls</x:v>
      </x:c>
      <x:c r="U51" s="105" t="str">
        <x:v>ALB (Alex Albon) → LIN (Arvid Lindblad): cut negative-P5 exposure by 4.0, the profile's first priority; projection +7.8 pts; forecast price change +1.2M; negative-P5 exposure -4.0; released $3.4M.
Audi → Racing Bulls: cut negative-P5 exposure by 5.0, the profile's first priority; projection +6.0 pts; forecast price change +0.4M; negative-P5 exposure -5.0; spent $2.1M more.</x:v>
      </x:c>
    </x:row>
    <x:row r="52" ht="52" customHeight="1">
      <x:c r="A52" s="101" t="str">
        <x:v>Balanced</x:v>
      </x:c>
      <x:c r="B52" s="101" t="str">
        <x:v>Total avoidance</x:v>
      </x:c>
      <x:c r="C52" s="101" t="n">
        <x:v>6</x:v>
      </x:c>
      <x:c r="D52" s="101" t="str">
        <x:v>Miami Grand Prix</x:v>
      </x:c>
      <x:c r="E52" s="101" t="str">
        <x:v>genuine</x:v>
      </x:c>
      <x:c r="F52" s="101" t="str"/>
      <x:c r="G52" s="102" t="n">
        <x:v>106.6</x:v>
      </x:c>
      <x:c r="H52" s="102" t="n">
        <x:v>104.3</x:v>
      </x:c>
      <x:c r="I52" s="102" t="n">
        <x:v>108.7</x:v>
      </x:c>
      <x:c r="J52" s="105" t="str">
        <x:v>ANT</x:v>
      </x:c>
      <x:c r="K52" s="105" t="str">
        <x:v>ANT, LEC, OCO, LIN, LAW</x:v>
      </x:c>
      <x:c r="L52" s="105" t="str">
        <x:v>Ferrari, Racing Bulls</x:v>
      </x:c>
      <x:c r="M52" s="106" t="n">
        <x:v>2</x:v>
      </x:c>
      <x:c r="N52" s="106" t="n">
        <x:v>1</x:v>
      </x:c>
      <x:c r="O52" s="106" t="n">
        <x:v>10</x:v>
      </x:c>
      <x:c r="P52" s="107" t="n">
        <x:v>378.5</x:v>
      </x:c>
      <x:c r="Q52" s="107" t="n">
        <x:v>3.3</x:v>
      </x:c>
      <x:c r="R52" s="107" t="n">
        <x:v>0</x:v>
      </x:c>
      <x:c r="S52" s="106" t="n">
        <x:v>158</x:v>
      </x:c>
      <x:c r="T52" s="105" t="str">
        <x:v>HAM (Lewis Hamilton) → LAW (Liam Lawson)
Haas → Ferrari</x:v>
      </x:c>
      <x:c r="U52" s="105" t="str">
        <x:v>HAM (Lewis Hamilton) → LAW (Liam Lawson): preserved the minimum feasible negative-P5 exposure; gave up 7.3 projected pts; forecast price change +0.3M; released $15.7M.
Haas → Ferrari: preserved the minimum feasible negative-P5 exposure; projection +55.3 pts; forecast price change -0.3M; spent $15.0M more.</x:v>
      </x:c>
    </x:row>
    <x:row r="53" ht="52" customHeight="1">
      <x:c r="A53" s="101" t="str">
        <x:v>Balanced</x:v>
      </x:c>
      <x:c r="B53" s="101" t="str">
        <x:v>Total avoidance</x:v>
      </x:c>
      <x:c r="C53" s="101" t="n">
        <x:v>7</x:v>
      </x:c>
      <x:c r="D53" s="101" t="str">
        <x:v>Canadian Grand Prix</x:v>
      </x:c>
      <x:c r="E53" s="101" t="str">
        <x:v>genuine</x:v>
      </x:c>
      <x:c r="F53" s="101" t="str">
        <x:v>wild card</x:v>
      </x:c>
      <x:c r="G53" s="102" t="n">
        <x:v>108.7</x:v>
      </x:c>
      <x:c r="H53" s="102" t="n">
        <x:v>104.8</x:v>
      </x:c>
      <x:c r="I53" s="102" t="n">
        <x:v>110.9</x:v>
      </x:c>
      <x:c r="J53" s="105" t="str">
        <x:v>ANT</x:v>
      </x:c>
      <x:c r="K53" s="105" t="str">
        <x:v>NOR, ANT, SAI, OCO, COL</x:v>
      </x:c>
      <x:c r="L53" s="105" t="str">
        <x:v>Williams, Racing Bulls</x:v>
      </x:c>
      <x:c r="M53" s="106" t="n">
        <x:v>4</x:v>
      </x:c>
      <x:c r="N53" s="106" t="n">
        <x:v>1</x:v>
      </x:c>
      <x:c r="O53" s="106" t="n">
        <x:v>0</x:v>
      </x:c>
      <x:c r="P53" s="107" t="n">
        <x:v>261.4</x:v>
      </x:c>
      <x:c r="Q53" s="107" t="n">
        <x:v>3.2</x:v>
      </x:c>
      <x:c r="R53" s="107" t="n">
        <x:v>14</x:v>
      </x:c>
      <x:c r="S53" s="106" t="n">
        <x:v>202</x:v>
      </x:c>
      <x:c r="T53" s="105" t="str">
        <x:v>LAW (Liam Lawson) → COL (Franco Colapinto)
LEC (Charles Leclerc) → NOR (Lando Norris)
LIN (Arvid Lindblad) → SAI (Carlos Sainz)
Ferrari → Williams</x:v>
      </x:c>
      <x:c r="U53" s="105" t="str">
        <x:v>LAW (Liam Lawson) → COL (Franco Colapinto): Wild Card made the permanent rebuild free; Forecasted competitive-order change called for 4 lineup changes and a 35.2-utility improvement; this is the upgrade/order-shift proxy.; cut negative-P5 exposure by 10.0, the profile's first priority; projection +0.8 pts; forecast price change +1.2M; negative-P5 exposure -10.0; spent $0.1M more.
LEC (Charles Leclerc) → NOR (Lando Norris): Wild Card made the permanent rebuild free; Forecasted competitive-order change called for 4 lineup changes and a 35.2-utility improvement; this is the upgrade/order-shift proxy.; preserved the minimum feasible negative-P5 exposure; projection +10.8 pts; spent $2.4M more.
LIN (Arvid Lindblad) → SAI (Carlos Sainz): Wild Card made the permanent rebuild free; Forecasted competitive-order change called for 4 lineup changes and a 35.2-utility improvement; this is the upgrade/order-shift proxy.; cut negative-P5 exposure by 4.0, the profile's first priority; projection +4.1 pts; forecast price change +0.8M; negative-P5 exposure -4.0; spent $6.0M more.
Ferrari → Williams: Wild Card made the permanent rebuild free; Forecasted competitive-order change called for 4 lineup changes and a 35.2-utility improvement; this is the upgrade/order-shift proxy.; preserved the minimum feasible negative-P5 exposure; gave up 46.0 projected pts; forecast price change +0.3M; released $10.1M.</x:v>
      </x:c>
    </x:row>
    <x:row r="54" ht="52" customHeight="1">
      <x:c r="A54" s="101" t="str">
        <x:v>Balanced</x:v>
      </x:c>
      <x:c r="B54" s="101" t="str">
        <x:v>Total avoidance</x:v>
      </x:c>
      <x:c r="C54" s="101" t="n">
        <x:v>8</x:v>
      </x:c>
      <x:c r="D54" s="101" t="str">
        <x:v>Monaco Grand Prix</x:v>
      </x:c>
      <x:c r="E54" s="101" t="str">
        <x:v>genuine</x:v>
      </x:c>
      <x:c r="F54" s="101" t="str">
        <x:v>limitless</x:v>
      </x:c>
      <x:c r="G54" s="102" t="n">
        <x:v>110.9</x:v>
      </x:c>
      <x:c r="H54" s="102" t="n">
        <x:v>158.4</x:v>
      </x:c>
      <x:c r="I54" s="102" t="n">
        <x:v>112.7</x:v>
      </x:c>
      <x:c r="J54" s="105" t="str">
        <x:v>LEC</x:v>
      </x:c>
      <x:c r="K54" s="105" t="str">
        <x:v>PIA, ANT, LEC, HAM, BOR</x:v>
      </x:c>
      <x:c r="L54" s="105" t="str">
        <x:v>Mercedes, Ferrari</x:v>
      </x:c>
      <x:c r="M54" s="106" t="n">
        <x:v>0</x:v>
      </x:c>
      <x:c r="N54" s="106" t="n">
        <x:v>2</x:v>
      </x:c>
      <x:c r="O54" s="106" t="n">
        <x:v>0</x:v>
      </x:c>
      <x:c r="P54" s="107" t="n">
        <x:v>297.3</x:v>
      </x:c>
      <x:c r="Q54" s="107" t="n">
        <x:v>1.6</x:v>
      </x:c>
      <x:c r="R54" s="107" t="n">
        <x:v>1</x:v>
      </x:c>
      <x:c r="S54" s="106" t="n">
        <x:v>176</x:v>
      </x:c>
      <x:c r="T54" s="105" t="str">
        <x:v>Temporary Limitless lineup; owned team reverted</x:v>
      </x:c>
      <x:c r="U54" s="105" t="str">
        <x:v>Limitless temporarily added BOR (Gabriel Bortoleto), HAM (Lewis Hamilton), LEC (Charles Leclerc), PIA (Oscar Piastri), Ferrari, Mercedes. Most qualifying-dependent completed circuit: 10/10 overtaking difficulty, where an unrestricted premium lineup should create the largest advantage over budget-constrained teams. The owned team reverted after the round.</x:v>
      </x:c>
    </x:row>
    <x:row r="55" ht="52" customHeight="1">
      <x:c r="A55" s="101" t="str">
        <x:v>Balanced</x:v>
      </x:c>
      <x:c r="B55" s="101" t="str">
        <x:v>Total avoidance</x:v>
      </x:c>
      <x:c r="C55" s="101" t="n">
        <x:v>9</x:v>
      </x:c>
      <x:c r="D55" s="101" t="str">
        <x:v>Spanish Grand Prix</x:v>
      </x:c>
      <x:c r="E55" s="101" t="str">
        <x:v>genuine</x:v>
      </x:c>
      <x:c r="F55" s="101" t="str"/>
      <x:c r="G55" s="102" t="n">
        <x:v>112.7</x:v>
      </x:c>
      <x:c r="H55" s="102" t="n">
        <x:v>110.4</x:v>
      </x:c>
      <x:c r="I55" s="102" t="n">
        <x:v>113.6</x:v>
      </x:c>
      <x:c r="J55" s="105" t="str">
        <x:v>ANT</x:v>
      </x:c>
      <x:c r="K55" s="105" t="str">
        <x:v>PIA, ANT, HAM, OCO, LIN</x:v>
      </x:c>
      <x:c r="L55" s="105" t="str">
        <x:v>Haas, Racing Bulls</x:v>
      </x:c>
      <x:c r="M55" s="106" t="n">
        <x:v>4</x:v>
      </x:c>
      <x:c r="N55" s="106" t="n">
        <x:v>3</x:v>
      </x:c>
      <x:c r="O55" s="106" t="n">
        <x:v>10</x:v>
      </x:c>
      <x:c r="P55" s="107" t="n">
        <x:v>169.6</x:v>
      </x:c>
      <x:c r="Q55" s="107" t="n">
        <x:v>0.9</x:v>
      </x:c>
      <x:c r="R55" s="107" t="n">
        <x:v>3</x:v>
      </x:c>
      <x:c r="S55" s="106" t="n">
        <x:v>117</x:v>
      </x:c>
      <x:c r="T55" s="105" t="str">
        <x:v>COL (Franco Colapinto) → LIN (Arvid Lindblad)
NOR (Lando Norris) → PIA (Oscar Piastri)
SAI (Carlos Sainz) → HAM (Lewis Hamilton)
Williams → Haas</x:v>
      </x:c>
      <x:c r="U55" s="105" t="str">
        <x:v>COL (Franco Colapinto) → LIN (Arvid Lindblad): cut negative-P5 exposure by 1.0, the profile's first priority; projection +1.1 pts; forecast price change -0.8M; negative-P5 exposure -1.0; released $3.6M.
NOR (Lando Norris) → PIA (Oscar Piastri): cut negative-P5 exposure by 6.0, the profile's first priority; projection +1.1 pts; forecast price change +0.2M; negative-P5 exposure -6.0; released $1.1M.
SAI (Carlos Sainz) → HAM (Lewis Hamilton): cut negative-P5 exposure by 12.0, the profile's first priority; projection +21.4 pts; forecast price change +0.9M; negative-P5 exposure -12.0; spent $11.3M more.
Williams → Haas: cut negative-P5 exposure by 5.5, the profile's first priority; projection +4.6 pts; forecast price change +0.4M; negative-P5 exposure -5.5; released $5.0M.</x:v>
      </x:c>
    </x:row>
    <x:row r="56" ht="52" customHeight="1">
      <x:c r="A56" s="101" t="str">
        <x:v>Balanced</x:v>
      </x:c>
      <x:c r="B56" s="101" t="str">
        <x:v>Total avoidance</x:v>
      </x:c>
      <x:c r="C56" s="101" t="n">
        <x:v>10</x:v>
      </x:c>
      <x:c r="D56" s="101" t="str">
        <x:v>Austrian Grand Prix</x:v>
      </x:c>
      <x:c r="E56" s="101" t="str">
        <x:v>genuine</x:v>
      </x:c>
      <x:c r="F56" s="101" t="str">
        <x:v>no negative</x:v>
      </x:c>
      <x:c r="G56" s="102" t="n">
        <x:v>113.6</x:v>
      </x:c>
      <x:c r="H56" s="102" t="n">
        <x:v>111</x:v>
      </x:c>
      <x:c r="I56" s="102" t="n">
        <x:v>114.9</x:v>
      </x:c>
      <x:c r="J56" s="105" t="str">
        <x:v>HAM</x:v>
      </x:c>
      <x:c r="K56" s="105" t="str">
        <x:v>PIA, HAM, OCO, LIN, COL</x:v>
      </x:c>
      <x:c r="L56" s="105" t="str">
        <x:v>Ferrari, Racing Bulls</x:v>
      </x:c>
      <x:c r="M56" s="106" t="n">
        <x:v>2</x:v>
      </x:c>
      <x:c r="N56" s="106" t="n">
        <x:v>1</x:v>
      </x:c>
      <x:c r="O56" s="106" t="n">
        <x:v>10</x:v>
      </x:c>
      <x:c r="P56" s="107" t="n">
        <x:v>168.4</x:v>
      </x:c>
      <x:c r="Q56" s="107" t="n">
        <x:v>1.3</x:v>
      </x:c>
      <x:c r="R56" s="107" t="n">
        <x:v>9.1</x:v>
      </x:c>
      <x:c r="S56" s="106" t="n">
        <x:v>184</x:v>
      </x:c>
      <x:c r="T56" s="105" t="str">
        <x:v>ANT (Kimi Antonelli) → COL (Franco Colapinto)
Haas → Ferrari</x:v>
      </x:c>
      <x:c r="U56" s="105" t="str">
        <x:v>ANT (Kimi Antonelli) → COL (Franco Colapinto): cut negative-P5 exposure by 11.3, the profile's first priority; gave up 22.1 projected pts; forecast price change -0.7M; negative-P5 exposure -11.3; released $15.3M.
Haas → Ferrari: cut negative-P5 exposure by 13.1, the profile's first priority; projection +41.1 pts; forecast price change +0.5M; negative-P5 exposure -13.1; spent $15.0M more.
No Negative: Highest combined pre-race attrition signal after accounting for field DNF probability (18.5%), weather DNF multiplier (1.10x), and rain risk (LOW).</x:v>
      </x:c>
    </x:row>
    <x:row r="57" ht="52" customHeight="1">
      <x:c r="A57" s="101" t="str">
        <x:v>Balanced</x:v>
      </x:c>
      <x:c r="B57" s="101" t="str">
        <x:v>Total avoidance</x:v>
      </x:c>
      <x:c r="C57" s="101" t="n">
        <x:v>11</x:v>
      </x:c>
      <x:c r="D57" s="101" t="str">
        <x:v>British Grand Prix</x:v>
      </x:c>
      <x:c r="E57" s="101" t="str">
        <x:v>genuine</x:v>
      </x:c>
      <x:c r="F57" s="101" t="str">
        <x:v>autopilot</x:v>
      </x:c>
      <x:c r="G57" s="102" t="n">
        <x:v>114.9</x:v>
      </x:c>
      <x:c r="H57" s="102" t="n">
        <x:v>112.8</x:v>
      </x:c>
      <x:c r="I57" s="102" t="n">
        <x:v>117.4</x:v>
      </x:c>
      <x:c r="J57" s="105" t="str">
        <x:v>HAM</x:v>
      </x:c>
      <x:c r="K57" s="105" t="str">
        <x:v>ANT, HAM, OCO, LIN, COL</x:v>
      </x:c>
      <x:c r="L57" s="105" t="str">
        <x:v>Ferrari, Racing Bulls</x:v>
      </x:c>
      <x:c r="M57" s="106" t="n">
        <x:v>1</x:v>
      </x:c>
      <x:c r="N57" s="106" t="n">
        <x:v>1</x:v>
      </x:c>
      <x:c r="O57" s="106" t="n">
        <x:v>0</x:v>
      </x:c>
      <x:c r="P57" s="107" t="n">
        <x:v>228.8</x:v>
      </x:c>
      <x:c r="Q57" s="107" t="n">
        <x:v>1.7</x:v>
      </x:c>
      <x:c r="R57" s="107" t="n">
        <x:v>34.1</x:v>
      </x:c>
      <x:c r="S57" s="106" t="n">
        <x:v>300</x:v>
      </x:c>
      <x:c r="T57" s="105" t="str">
        <x:v>PIA (Oscar Piastri) → ANT (Kimi Antonelli)</x:v>
      </x:c>
      <x:c r="U57" s="105" t="str">
        <x:v>PIA (Oscar Piastri) → ANT (Kimi Antonelli): cut negative-P5 exposure by 6.7, the profile's first priority; projection +12.5 pts; negative-P5 exposure -6.7; spent $0.5M more.
Autopilot: Greatest remaining forecast uncertainty between captain candidates.</x:v>
      </x:c>
    </x:row>
    <x:row r="58" ht="52" customHeight="1">
      <x:c r="A58" s="101" t="str">
        <x:v>Balanced</x:v>
      </x:c>
      <x:c r="B58" s="101" t="str">
        <x:v>Total avoidance</x:v>
      </x:c>
      <x:c r="C58" s="101" t="n">
        <x:v>12</x:v>
      </x:c>
      <x:c r="D58" s="101" t="str">
        <x:v>Belgian Grand Prix</x:v>
      </x:c>
      <x:c r="E58" s="101" t="str">
        <x:v>genuine</x:v>
      </x:c>
      <x:c r="F58" s="101" t="str"/>
      <x:c r="G58" s="102" t="n">
        <x:v>117.4</x:v>
      </x:c>
      <x:c r="H58" s="102" t="n">
        <x:v>114.5</x:v>
      </x:c>
      <x:c r="I58" s="102" t="n">
        <x:v>120.5</x:v>
      </x:c>
      <x:c r="J58" s="105" t="str">
        <x:v>HAD</x:v>
      </x:c>
      <x:c r="K58" s="105" t="str">
        <x:v>ANT, HAM, HAD, LIN, BOR</x:v>
      </x:c>
      <x:c r="L58" s="105" t="str">
        <x:v>Ferrari, Racing Bulls</x:v>
      </x:c>
      <x:c r="M58" s="106" t="n">
        <x:v>2</x:v>
      </x:c>
      <x:c r="N58" s="106" t="n">
        <x:v>1</x:v>
      </x:c>
      <x:c r="O58" s="106" t="n">
        <x:v>10</x:v>
      </x:c>
      <x:c r="P58" s="107" t="n">
        <x:v>193.5</x:v>
      </x:c>
      <x:c r="Q58" s="107" t="n">
        <x:v>2.5</x:v>
      </x:c>
      <x:c r="R58" s="107" t="n">
        <x:v>66</x:v>
      </x:c>
      <x:c r="S58" s="106" t="n">
        <x:v>225</x:v>
      </x:c>
      <x:c r="T58" s="105" t="str">
        <x:v>COL (Franco Colapinto) → HAD (Isack Hadjar)
OCO (Esteban Ocon) → BOR (Gabriel Bortoleto)</x:v>
      </x:c>
      <x:c r="U58" s="105" t="str">
        <x:v>COL (Franco Colapinto) → HAD (Isack Hadjar): preserved the minimum feasible negative-P5 exposure; projection +30.6 pts; spent $2.9M more; became the projected 2x captain.
OCO (Esteban Ocon) → BOR (Gabriel Bortoleto): cut negative-P5 exposure by 0.4, the profile's first priority; gave up 1.3 projected pts; negative-P5 exposure -0.4; released $3.7M.</x:v>
      </x:c>
    </x:row>
    <x:row r="59" ht="52" customHeight="1">
      <x:c r="A59" s="101" t="str">
        <x:v>Balanced</x:v>
      </x:c>
      <x:c r="B59" s="101" t="str">
        <x:v>Total avoidance</x:v>
      </x:c>
      <x:c r="C59" s="101" t="n">
        <x:v>13</x:v>
      </x:c>
      <x:c r="D59" s="101" t="str">
        <x:v>Hungarian Grand Prix</x:v>
      </x:c>
      <x:c r="E59" s="101" t="str">
        <x:v>genuine</x:v>
      </x:c>
      <x:c r="F59" s="101" t="str"/>
      <x:c r="G59" s="102" t="n">
        <x:v>120.5</x:v>
      </x:c>
      <x:c r="H59" s="102" t="n">
        <x:v>117.6</x:v>
      </x:c>
      <x:c r="I59" s="102" t="n">
        <x:v>123.3</x:v>
      </x:c>
      <x:c r="J59" s="105" t="str">
        <x:v>HAM</x:v>
      </x:c>
      <x:c r="K59" s="105" t="str">
        <x:v>ANT, HAM, HAD, LIN, BOR</x:v>
      </x:c>
      <x:c r="L59" s="105" t="str">
        <x:v>Ferrari, Racing Bulls</x:v>
      </x:c>
      <x:c r="M59" s="106" t="n">
        <x:v>0</x:v>
      </x:c>
      <x:c r="N59" s="106" t="n">
        <x:v>1</x:v>
      </x:c>
      <x:c r="O59" s="106" t="n">
        <x:v>0</x:v>
      </x:c>
      <x:c r="P59" s="107" t="n">
        <x:v>167.4</x:v>
      </x:c>
      <x:c r="Q59" s="107" t="n">
        <x:v>2.1</x:v>
      </x:c>
      <x:c r="R59" s="107" t="n">
        <x:v>64.6</x:v>
      </x:c>
      <x:c r="S59" s="106" t="n">
        <x:v>225</x:v>
      </x:c>
      <x:c r="T59" s="105" t="str">
        <x:v>Hold</x:v>
      </x:c>
      <x:c r="U59" s="105" t="str">
        <x:v>Held the existing team because no permitted transfer improved the manager's lineup-level objective enough after transfer penalties.</x:v>
      </x:c>
    </x:row>
    <x:row r="60" ht="52" customHeight="1">
      <x:c r="A60" s="101" t="str">
        <x:v>Balanced</x:v>
      </x:c>
      <x:c r="B60" s="101" t="str">
        <x:v>Minimal risk accepted</x:v>
      </x:c>
      <x:c r="C60" s="101" t="n">
        <x:v>1</x:v>
      </x:c>
      <x:c r="D60" s="101" t="str">
        <x:v>Australian Grand Prix</x:v>
      </x:c>
      <x:c r="E60" s="101" t="str">
        <x:v>reconstructed</x:v>
      </x:c>
      <x:c r="F60" s="101" t="str"/>
      <x:c r="G60" s="102" t="n">
        <x:v>100</x:v>
      </x:c>
      <x:c r="H60" s="102" t="n">
        <x:v>99.9</x:v>
      </x:c>
      <x:c r="I60" s="102" t="n">
        <x:v>103.9</x:v>
      </x:c>
      <x:c r="J60" s="105" t="str">
        <x:v>RUS</x:v>
      </x:c>
      <x:c r="K60" s="105" t="str">
        <x:v>RUS, ALB, OCO, COL, BOR</x:v>
      </x:c>
      <x:c r="L60" s="105" t="str">
        <x:v>Mercedes, Williams</x:v>
      </x:c>
      <x:c r="M60" s="106" t="n">
        <x:v>0</x:v>
      </x:c>
      <x:c r="N60" s="106" t="n">
        <x:v>0</x:v>
      </x:c>
      <x:c r="O60" s="106" t="n">
        <x:v>0</x:v>
      </x:c>
      <x:c r="P60" s="107" t="n">
        <x:v>224.4</x:v>
      </x:c>
      <x:c r="Q60" s="107" t="n">
        <x:v>2.4</x:v>
      </x:c>
      <x:c r="R60" s="107" t="n">
        <x:v>11.5</x:v>
      </x:c>
      <x:c r="S60" s="106" t="n">
        <x:v>230</x:v>
      </x:c>
      <x:c r="T60" s="105" t="str">
        <x:v>Initial selection</x:v>
      </x:c>
      <x:c r="U60" s="105" t="str">
        <x:v>Initial team selected by the manager philosophy and risk profile under the $100.0M cap.</x:v>
      </x:c>
    </x:row>
    <x:row r="61" ht="52" customHeight="1">
      <x:c r="A61" s="101" t="str">
        <x:v>Balanced</x:v>
      </x:c>
      <x:c r="B61" s="101" t="str">
        <x:v>Minimal risk accepted</x:v>
      </x:c>
      <x:c r="C61" s="101" t="n">
        <x:v>2</x:v>
      </x:c>
      <x:c r="D61" s="101" t="str">
        <x:v>Chinese Grand Prix</x:v>
      </x:c>
      <x:c r="E61" s="101" t="str">
        <x:v>reconstructed</x:v>
      </x:c>
      <x:c r="F61" s="101" t="str"/>
      <x:c r="G61" s="102" t="n">
        <x:v>103.9</x:v>
      </x:c>
      <x:c r="H61" s="102" t="n">
        <x:v>95</x:v>
      </x:c>
      <x:c r="I61" s="102" t="n">
        <x:v>103.9</x:v>
      </x:c>
      <x:c r="J61" s="105" t="str">
        <x:v>ANT</x:v>
      </x:c>
      <x:c r="K61" s="105" t="str">
        <x:v>ANT, ALB, OCO, COL, BOR</x:v>
      </x:c>
      <x:c r="L61" s="105" t="str">
        <x:v>Mercedes, Haas</x:v>
      </x:c>
      <x:c r="M61" s="106" t="n">
        <x:v>2</x:v>
      </x:c>
      <x:c r="N61" s="106" t="n">
        <x:v>2</x:v>
      </x:c>
      <x:c r="O61" s="106" t="n">
        <x:v>0</x:v>
      </x:c>
      <x:c r="P61" s="107" t="n">
        <x:v>319.3</x:v>
      </x:c>
      <x:c r="Q61" s="107" t="n">
        <x:v>3.2</x:v>
      </x:c>
      <x:c r="R61" s="107" t="n">
        <x:v>22</x:v>
      </x:c>
      <x:c r="S61" s="106" t="n">
        <x:v>337</x:v>
      </x:c>
      <x:c r="T61" s="105" t="str">
        <x:v>RUS (George Russell) → ANT (Kimi Antonelli)
Williams → Haas</x:v>
      </x:c>
      <x:c r="U61" s="105" t="str">
        <x:v>RUS (George Russell) → ANT (Kimi Antonelli): raised approximate per-asset strategy/risk utility by +2.7; projection +2.7 pts; released $4.2M; became the projected 2x captain.
Williams → Haas: raised approximate per-asset strategy/risk utility by +1.2; projection +1.2 pts; released $4.6M.</x:v>
      </x:c>
    </x:row>
    <x:row r="62" ht="52" customHeight="1">
      <x:c r="A62" s="101" t="str">
        <x:v>Balanced</x:v>
      </x:c>
      <x:c r="B62" s="101" t="str">
        <x:v>Minimal risk accepted</x:v>
      </x:c>
      <x:c r="C62" s="101" t="n">
        <x:v>3</x:v>
      </x:c>
      <x:c r="D62" s="101" t="str">
        <x:v>Japanese Grand Prix</x:v>
      </x:c>
      <x:c r="E62" s="101" t="str">
        <x:v>reconstructed</x:v>
      </x:c>
      <x:c r="F62" s="101" t="str"/>
      <x:c r="G62" s="102" t="n">
        <x:v>103.9</x:v>
      </x:c>
      <x:c r="H62" s="102" t="n">
        <x:v>91.6</x:v>
      </x:c>
      <x:c r="I62" s="102" t="n">
        <x:v>105.9</x:v>
      </x:c>
      <x:c r="J62" s="105" t="str">
        <x:v>ANT</x:v>
      </x:c>
      <x:c r="K62" s="105" t="str">
        <x:v>ANT, OCO, LIN, COL, BOR</x:v>
      </x:c>
      <x:c r="L62" s="105" t="str">
        <x:v>Mercedes, Haas</x:v>
      </x:c>
      <x:c r="M62" s="106" t="n">
        <x:v>1</x:v>
      </x:c>
      <x:c r="N62" s="106" t="n">
        <x:v>1</x:v>
      </x:c>
      <x:c r="O62" s="106" t="n">
        <x:v>0</x:v>
      </x:c>
      <x:c r="P62" s="107" t="n">
        <x:v>233.3</x:v>
      </x:c>
      <x:c r="Q62" s="107" t="n">
        <x:v>2.4</x:v>
      </x:c>
      <x:c r="R62" s="107" t="n">
        <x:v>17.5</x:v>
      </x:c>
      <x:c r="S62" s="106" t="n">
        <x:v>205</x:v>
      </x:c>
      <x:c r="T62" s="105" t="str">
        <x:v>ALB (Alex Albon) → LIN (Arvid Lindblad)</x:v>
      </x:c>
      <x:c r="U62" s="105" t="str">
        <x:v>ALB (Alex Albon) → LIN (Arvid Lindblad): raised approximate per-asset strategy/risk utility by +25.4; projection +7.8 pts; forecast price change +1.2M; negative-P5 exposure -4.0; released $3.4M.</x:v>
      </x:c>
    </x:row>
    <x:row r="63" ht="52" customHeight="1">
      <x:c r="A63" s="101" t="str">
        <x:v>Balanced</x:v>
      </x:c>
      <x:c r="B63" s="101" t="str">
        <x:v>Minimal risk accepted</x:v>
      </x:c>
      <x:c r="C63" s="101" t="n">
        <x:v>6</x:v>
      </x:c>
      <x:c r="D63" s="101" t="str">
        <x:v>Miami Grand Prix</x:v>
      </x:c>
      <x:c r="E63" s="101" t="str">
        <x:v>genuine</x:v>
      </x:c>
      <x:c r="F63" s="101" t="str"/>
      <x:c r="G63" s="102" t="n">
        <x:v>105.9</x:v>
      </x:c>
      <x:c r="H63" s="102" t="n">
        <x:v>105.5</x:v>
      </x:c>
      <x:c r="I63" s="102" t="n">
        <x:v>108</x:v>
      </x:c>
      <x:c r="J63" s="105" t="str">
        <x:v>ANT</x:v>
      </x:c>
      <x:c r="K63" s="105" t="str">
        <x:v>ANT, LEC, OCO, LIN, COL</x:v>
      </x:c>
      <x:c r="L63" s="105" t="str">
        <x:v>Ferrari, Haas</x:v>
      </x:c>
      <x:c r="M63" s="106" t="n">
        <x:v>2</x:v>
      </x:c>
      <x:c r="N63" s="106" t="n">
        <x:v>1</x:v>
      </x:c>
      <x:c r="O63" s="106" t="n">
        <x:v>10</x:v>
      </x:c>
      <x:c r="P63" s="107" t="n">
        <x:v>355.9</x:v>
      </x:c>
      <x:c r="Q63" s="107" t="n">
        <x:v>3.3</x:v>
      </x:c>
      <x:c r="R63" s="107" t="n">
        <x:v>5</x:v>
      </x:c>
      <x:c r="S63" s="106" t="n">
        <x:v>204</x:v>
      </x:c>
      <x:c r="T63" s="105" t="str">
        <x:v>BOR (Gabriel Bortoleto) → LEC (Charles Leclerc)
Mercedes → Ferrari</x:v>
      </x:c>
      <x:c r="U63" s="105" t="str">
        <x:v>BOR (Gabriel Bortoleto) → LEC (Charles Leclerc): raised approximate per-asset strategy/risk utility by +61.1; projection +33.9 pts; forecast price change +0.9M; negative-P5 exposure -10.0; spent $17.9M more.
Mercedes → Ferrari: was -8.2 utility on this explanatory pairing but enabled the higher-utility seven-asset lineup; gave up 8.2 projected pts; released $6.0M.</x:v>
      </x:c>
    </x:row>
    <x:row r="64" ht="52" customHeight="1">
      <x:c r="A64" s="101" t="str">
        <x:v>Balanced</x:v>
      </x:c>
      <x:c r="B64" s="101" t="str">
        <x:v>Minimal risk accepted</x:v>
      </x:c>
      <x:c r="C64" s="101" t="n">
        <x:v>7</x:v>
      </x:c>
      <x:c r="D64" s="101" t="str">
        <x:v>Canadian Grand Prix</x:v>
      </x:c>
      <x:c r="E64" s="101" t="str">
        <x:v>genuine</x:v>
      </x:c>
      <x:c r="F64" s="101" t="str"/>
      <x:c r="G64" s="102" t="n">
        <x:v>108</x:v>
      </x:c>
      <x:c r="H64" s="102" t="n">
        <x:v>107.9</x:v>
      </x:c>
      <x:c r="I64" s="102" t="n">
        <x:v>109.3</x:v>
      </x:c>
      <x:c r="J64" s="105" t="str">
        <x:v>ANT</x:v>
      </x:c>
      <x:c r="K64" s="105" t="str">
        <x:v>ANT, OCO, LIN, COL, BOR</x:v>
      </x:c>
      <x:c r="L64" s="105" t="str">
        <x:v>McLaren, Ferrari</x:v>
      </x:c>
      <x:c r="M64" s="106" t="n">
        <x:v>2</x:v>
      </x:c>
      <x:c r="N64" s="106" t="n">
        <x:v>1</x:v>
      </x:c>
      <x:c r="O64" s="106" t="n">
        <x:v>10</x:v>
      </x:c>
      <x:c r="P64" s="107" t="n">
        <x:v>329.8</x:v>
      </x:c>
      <x:c r="Q64" s="107" t="n">
        <x:v>1.7</x:v>
      </x:c>
      <x:c r="R64" s="107" t="n">
        <x:v>28</x:v>
      </x:c>
      <x:c r="S64" s="106" t="n">
        <x:v>238</x:v>
      </x:c>
      <x:c r="T64" s="105" t="str">
        <x:v>LEC (Charles Leclerc) → BOR (Gabriel Bortoleto)
Haas → McLaren</x:v>
      </x:c>
      <x:c r="U64" s="105" t="str">
        <x:v>LEC (Charles Leclerc) → BOR (Gabriel Bortoleto): was -44.2 utility on this explanatory pairing but enabled the higher-utility seven-asset lineup; gave up 23.4 projected pts; forecast price change -0.1M; negative-P5 exposure +10.0; released $18.8M.
Haas → McLaren: raised approximate per-asset strategy/risk utility by +76.0; projection +69.4 pts; forecast price change -0.3M; negative-P5 exposure -4.5; spent $19.1M more.</x:v>
      </x:c>
    </x:row>
    <x:row r="65" ht="52" customHeight="1">
      <x:c r="A65" s="101" t="str">
        <x:v>Balanced</x:v>
      </x:c>
      <x:c r="B65" s="101" t="str">
        <x:v>Minimal risk accepted</x:v>
      </x:c>
      <x:c r="C65" s="101" t="n">
        <x:v>8</x:v>
      </x:c>
      <x:c r="D65" s="101" t="str">
        <x:v>Monaco Grand Prix</x:v>
      </x:c>
      <x:c r="E65" s="101" t="str">
        <x:v>genuine</x:v>
      </x:c>
      <x:c r="F65" s="101" t="str">
        <x:v>limitless</x:v>
      </x:c>
      <x:c r="G65" s="102" t="n">
        <x:v>109.3</x:v>
      </x:c>
      <x:c r="H65" s="102" t="n">
        <x:v>181.5</x:v>
      </x:c>
      <x:c r="I65" s="102" t="n">
        <x:v>110.6</x:v>
      </x:c>
      <x:c r="J65" s="105" t="str">
        <x:v>LEC</x:v>
      </x:c>
      <x:c r="K65" s="105" t="str">
        <x:v>RUS, PIA, ANT, LEC, HAM</x:v>
      </x:c>
      <x:c r="L65" s="105" t="str">
        <x:v>Mercedes, Ferrari</x:v>
      </x:c>
      <x:c r="M65" s="106" t="n">
        <x:v>0</x:v>
      </x:c>
      <x:c r="N65" s="106" t="n">
        <x:v>1</x:v>
      </x:c>
      <x:c r="O65" s="106" t="n">
        <x:v>0</x:v>
      </x:c>
      <x:c r="P65" s="107" t="n">
        <x:v>310.6</x:v>
      </x:c>
      <x:c r="Q65" s="107" t="n">
        <x:v>1.3</x:v>
      </x:c>
      <x:c r="R65" s="107" t="n">
        <x:v>6</x:v>
      </x:c>
      <x:c r="S65" s="106" t="n">
        <x:v>171</x:v>
      </x:c>
      <x:c r="T65" s="105" t="str">
        <x:v>Temporary Limitless lineup; owned team reverted</x:v>
      </x:c>
      <x:c r="U65" s="105" t="str">
        <x:v>Limitless temporarily added HAM (Lewis Hamilton), LEC (Charles Leclerc), PIA (Oscar Piastri), RUS (George Russell), Mercedes. Most qualifying-dependent completed circuit: 10/10 overtaking difficulty, where an unrestricted premium lineup should create the largest advantage over budget-constrained teams. The owned team reverted after the round.</x:v>
      </x:c>
    </x:row>
    <x:row r="66" ht="52" customHeight="1">
      <x:c r="A66" s="101" t="str">
        <x:v>Balanced</x:v>
      </x:c>
      <x:c r="B66" s="101" t="str">
        <x:v>Minimal risk accepted</x:v>
      </x:c>
      <x:c r="C66" s="101" t="n">
        <x:v>9</x:v>
      </x:c>
      <x:c r="D66" s="101" t="str">
        <x:v>Spanish Grand Prix</x:v>
      </x:c>
      <x:c r="E66" s="101" t="str">
        <x:v>genuine</x:v>
      </x:c>
      <x:c r="F66" s="101" t="str"/>
      <x:c r="G66" s="102" t="n">
        <x:v>110.6</x:v>
      </x:c>
      <x:c r="H66" s="102" t="n">
        <x:v>110.5</x:v>
      </x:c>
      <x:c r="I66" s="102" t="n">
        <x:v>112.3</x:v>
      </x:c>
      <x:c r="J66" s="105" t="str">
        <x:v>ANT</x:v>
      </x:c>
      <x:c r="K66" s="105" t="str">
        <x:v>ANT, OCO, LIN, COL, BOR</x:v>
      </x:c>
      <x:c r="L66" s="105" t="str">
        <x:v>McLaren, Ferrari</x:v>
      </x:c>
      <x:c r="M66" s="106" t="n">
        <x:v>0</x:v>
      </x:c>
      <x:c r="N66" s="106" t="n">
        <x:v>2</x:v>
      </x:c>
      <x:c r="O66" s="106" t="n">
        <x:v>0</x:v>
      </x:c>
      <x:c r="P66" s="107" t="n">
        <x:v>223.5</x:v>
      </x:c>
      <x:c r="Q66" s="107" t="n">
        <x:v>0.5</x:v>
      </x:c>
      <x:c r="R66" s="107" t="n">
        <x:v>9</x:v>
      </x:c>
      <x:c r="S66" s="106" t="n">
        <x:v>151</x:v>
      </x:c>
      <x:c r="T66" s="105" t="str">
        <x:v>Hold</x:v>
      </x:c>
      <x:c r="U66" s="105" t="str">
        <x:v>Held the existing team because no permitted transfer improved the manager's lineup-level objective enough after transfer penalties.</x:v>
      </x:c>
    </x:row>
    <x:row r="67" ht="52" customHeight="1">
      <x:c r="A67" s="101" t="str">
        <x:v>Balanced</x:v>
      </x:c>
      <x:c r="B67" s="101" t="str">
        <x:v>Minimal risk accepted</x:v>
      </x:c>
      <x:c r="C67" s="101" t="n">
        <x:v>10</x:v>
      </x:c>
      <x:c r="D67" s="101" t="str">
        <x:v>Austrian Grand Prix</x:v>
      </x:c>
      <x:c r="E67" s="101" t="str">
        <x:v>genuine</x:v>
      </x:c>
      <x:c r="F67" s="101" t="str">
        <x:v>no negative</x:v>
      </x:c>
      <x:c r="G67" s="102" t="n">
        <x:v>112.3</x:v>
      </x:c>
      <x:c r="H67" s="102" t="n">
        <x:v>111.1</x:v>
      </x:c>
      <x:c r="I67" s="102" t="n">
        <x:v>113.6</x:v>
      </x:c>
      <x:c r="J67" s="105" t="str">
        <x:v>HAM</x:v>
      </x:c>
      <x:c r="K67" s="105" t="str">
        <x:v>HAM, OCO, LIN, COL, BOR</x:v>
      </x:c>
      <x:c r="L67" s="105" t="str">
        <x:v>McLaren, Ferrari</x:v>
      </x:c>
      <x:c r="M67" s="106" t="n">
        <x:v>1</x:v>
      </x:c>
      <x:c r="N67" s="106" t="n">
        <x:v>3</x:v>
      </x:c>
      <x:c r="O67" s="106" t="n">
        <x:v>0</x:v>
      </x:c>
      <x:c r="P67" s="107" t="n">
        <x:v>180.1</x:v>
      </x:c>
      <x:c r="Q67" s="107" t="n">
        <x:v>0.9</x:v>
      </x:c>
      <x:c r="R67" s="107" t="n">
        <x:v>9</x:v>
      </x:c>
      <x:c r="S67" s="106" t="n">
        <x:v>187</x:v>
      </x:c>
      <x:c r="T67" s="105" t="str">
        <x:v>ANT (Kimi Antonelli) → HAM (Lewis Hamilton)</x:v>
      </x:c>
      <x:c r="U67" s="105" t="str">
        <x:v>ANT (Kimi Antonelli) → HAM (Lewis Hamilton): raised approximate per-asset strategy/risk utility by +25.6; gave up 4.6 projected pts; forecast price change +0.2M; negative-P5 exposure -14.3; released $1.1M; became the projected 2x captain.
No Negative: Highest combined pre-race attrition signal after accounting for field DNF probability (18.5%), weather DNF multiplier (1.10x), and rain risk (LOW).</x:v>
      </x:c>
    </x:row>
    <x:row r="68" ht="52" customHeight="1">
      <x:c r="A68" s="101" t="str">
        <x:v>Balanced</x:v>
      </x:c>
      <x:c r="B68" s="101" t="str">
        <x:v>Minimal risk accepted</x:v>
      </x:c>
      <x:c r="C68" s="101" t="n">
        <x:v>11</x:v>
      </x:c>
      <x:c r="D68" s="101" t="str">
        <x:v>British Grand Prix</x:v>
      </x:c>
      <x:c r="E68" s="101" t="str">
        <x:v>genuine</x:v>
      </x:c>
      <x:c r="F68" s="101" t="str">
        <x:v>autopilot</x:v>
      </x:c>
      <x:c r="G68" s="102" t="n">
        <x:v>113.6</x:v>
      </x:c>
      <x:c r="H68" s="102" t="n">
        <x:v>112.1</x:v>
      </x:c>
      <x:c r="I68" s="102" t="n">
        <x:v>116.1</x:v>
      </x:c>
      <x:c r="J68" s="105" t="str">
        <x:v>COL</x:v>
      </x:c>
      <x:c r="K68" s="105" t="str">
        <x:v>VER, ANT, LIN, COL, BOR</x:v>
      </x:c>
      <x:c r="L68" s="105" t="str">
        <x:v>Ferrari, Racing Bulls</x:v>
      </x:c>
      <x:c r="M68" s="106" t="n">
        <x:v>3</x:v>
      </x:c>
      <x:c r="N68" s="106" t="n">
        <x:v>3</x:v>
      </x:c>
      <x:c r="O68" s="106" t="n">
        <x:v>0</x:v>
      </x:c>
      <x:c r="P68" s="107" t="n">
        <x:v>233.5</x:v>
      </x:c>
      <x:c r="Q68" s="107" t="n">
        <x:v>1.9</x:v>
      </x:c>
      <x:c r="R68" s="107" t="n">
        <x:v>34.3</x:v>
      </x:c>
      <x:c r="S68" s="106" t="n">
        <x:v>255</x:v>
      </x:c>
      <x:c r="T68" s="105" t="str">
        <x:v>HAM (Lewis Hamilton) → ANT (Kimi Antonelli)
OCO (Esteban Ocon) → VER (Max Verstappen)
McLaren → Racing Bulls</x:v>
      </x:c>
      <x:c r="U68" s="105" t="str">
        <x:v>HAM (Lewis Hamilton) → ANT (Kimi Antonelli): raised approximate per-asset strategy/risk utility by +1.8; projection +1.0 pts; forecast price change -0.4M; negative-P5 exposure -2.0; spent $0.9M more.
OCO (Esteban Ocon) → VER (Max Verstappen): raised approximate per-asset strategy/risk utility by +45.8; projection +23.4 pts; forecast price change +0.3M; negative-P5 exposure -10.0; spent $17.8M more.
McLaren → Racing Bulls: was -16.8 utility on this explanatory pairing but enabled the higher-utility seven-asset lineup; gave up 14.8 projected pts; forecast price change +0.3M; negative-P5 exposure +2.2; released $19.0M.
Autopilot: Greatest remaining forecast uncertainty between captain candidates.</x:v>
      </x:c>
    </x:row>
    <x:row r="69" ht="52" customHeight="1">
      <x:c r="A69" s="101" t="str">
        <x:v>Balanced</x:v>
      </x:c>
      <x:c r="B69" s="101" t="str">
        <x:v>Minimal risk accepted</x:v>
      </x:c>
      <x:c r="C69" s="101" t="n">
        <x:v>12</x:v>
      </x:c>
      <x:c r="D69" s="101" t="str">
        <x:v>Belgian Grand Prix</x:v>
      </x:c>
      <x:c r="E69" s="101" t="str">
        <x:v>genuine</x:v>
      </x:c>
      <x:c r="F69" s="101" t="str">
        <x:v>wild card</x:v>
      </x:c>
      <x:c r="G69" s="102" t="n">
        <x:v>116.1</x:v>
      </x:c>
      <x:c r="H69" s="102" t="n">
        <x:v>114.6</x:v>
      </x:c>
      <x:c r="I69" s="102" t="n">
        <x:v>118.6</x:v>
      </x:c>
      <x:c r="J69" s="105" t="str">
        <x:v>HAD</x:v>
      </x:c>
      <x:c r="K69" s="105" t="str">
        <x:v>HAM, HAD, LIN, COL, HUL</x:v>
      </x:c>
      <x:c r="L69" s="105" t="str">
        <x:v>Red Bull, Ferrari</x:v>
      </x:c>
      <x:c r="M69" s="106" t="n">
        <x:v>4</x:v>
      </x:c>
      <x:c r="N69" s="106" t="n">
        <x:v>1</x:v>
      </x:c>
      <x:c r="O69" s="106" t="n">
        <x:v>0</x:v>
      </x:c>
      <x:c r="P69" s="107" t="n">
        <x:v>220.9</x:v>
      </x:c>
      <x:c r="Q69" s="107" t="n">
        <x:v>2.5</x:v>
      </x:c>
      <x:c r="R69" s="107" t="n">
        <x:v>70.9</x:v>
      </x:c>
      <x:c r="S69" s="106" t="n">
        <x:v>265</x:v>
      </x:c>
      <x:c r="T69" s="105" t="str">
        <x:v>ANT (Kimi Antonelli) → HAD (Isack Hadjar)
BOR (Gabriel Bortoleto) → HUL (Nico Hulkenberg)
VER (Max Verstappen) → HAM (Lewis Hamilton)
Racing Bulls → Red Bull</x:v>
      </x:c>
      <x:c r="U69" s="105" t="str">
        <x:v>ANT (Kimi Antonelli) → HAD (Isack Hadjar): Wild Card made the permanent rebuild free; Forecasted competitive-order change called for 4 lineup changes and a 27.6-utility improvement; this is the upgrade/order-shift proxy.; was -0.2 utility on this explanatory pairing but enabled the higher-utility seven-asset lineup; projection +10.6 pts; forecast price change +0.5M; negative-P5 exposure +7.4; released $12.0M; became the projected 2x captain.
BOR (Gabriel Bortoleto) → HUL (Nico Hulkenberg): Wild Card made the permanent rebuild free; Forecasted competitive-order change called for 4 lineup changes and a 27.6-utility improvement; this is the upgrade/order-shift proxy.; was -14.0 utility on this explanatory pairing but enabled the higher-utility seven-asset lineup; gave up 4.6 projected pts; forecast price change -0.2M; negative-P5 exposure +3.9; released $3.6M.
VER (Max Verstappen) → HAM (Lewis Hamilton): Wild Card made the permanent rebuild free; Forecasted competitive-order change called for 4 lineup changes and a 27.6-utility improvement; this is the upgrade/order-shift proxy.; raised approximate per-asset strategy/risk utility by +6.6; projection +0.8 pts; forecast price change +0.2M; negative-P5 exposure -2.1; released $3.0M.
Racing Bulls → Red Bull: Wild Card made the permanent rebuild free; Forecasted competitive-order change called for 4 lineup changes and a 27.6-utility improvement; this is the upgrade/order-shift proxy.; raised approximate per-asset strategy/risk utility by +62.4; projection +52.0 pts; forecast price change -0.3M; negative-P5 exposure -6.4; spent $18.6M more.</x:v>
      </x:c>
    </x:row>
    <x:row r="70" ht="52" customHeight="1">
      <x:c r="A70" s="101" t="str">
        <x:v>Balanced</x:v>
      </x:c>
      <x:c r="B70" s="101" t="str">
        <x:v>Minimal risk accepted</x:v>
      </x:c>
      <x:c r="C70" s="101" t="n">
        <x:v>13</x:v>
      </x:c>
      <x:c r="D70" s="101" t="str">
        <x:v>Hungarian Grand Prix</x:v>
      </x:c>
      <x:c r="E70" s="101" t="str">
        <x:v>genuine</x:v>
      </x:c>
      <x:c r="F70" s="101" t="str"/>
      <x:c r="G70" s="102" t="n">
        <x:v>118.6</x:v>
      </x:c>
      <x:c r="H70" s="102" t="n">
        <x:v>115.9</x:v>
      </x:c>
      <x:c r="I70" s="102" t="n">
        <x:v>121</x:v>
      </x:c>
      <x:c r="J70" s="105" t="str">
        <x:v>HAM</x:v>
      </x:c>
      <x:c r="K70" s="105" t="str">
        <x:v>HAM, HAD, LIN, LAW, HUL</x:v>
      </x:c>
      <x:c r="L70" s="105" t="str">
        <x:v>McLaren, Ferrari</x:v>
      </x:c>
      <x:c r="M70" s="106" t="n">
        <x:v>2</x:v>
      </x:c>
      <x:c r="N70" s="106" t="n">
        <x:v>2</x:v>
      </x:c>
      <x:c r="O70" s="106" t="n">
        <x:v>0</x:v>
      </x:c>
      <x:c r="P70" s="107" t="n">
        <x:v>184.8</x:v>
      </x:c>
      <x:c r="Q70" s="107" t="n">
        <x:v>1.7</x:v>
      </x:c>
      <x:c r="R70" s="107" t="n">
        <x:v>69.2</x:v>
      </x:c>
      <x:c r="S70" s="106" t="n">
        <x:v>200</x:v>
      </x:c>
      <x:c r="T70" s="105" t="str">
        <x:v>COL (Franco Colapinto) → LAW (Liam Lawson)
Red Bull → McLaren</x:v>
      </x:c>
      <x:c r="U70" s="105" t="str">
        <x:v>COL (Franco Colapinto) → LAW (Liam Lawson): raised approximate per-asset strategy/risk utility by +1.8; projection +2.2 pts; negative-P5 exposure +0.2; released $1.3M.
Red Bull → McLaren: raised approximate per-asset strategy/risk utility by +20.7; projection +20.7 pts; spent $0.1M more.</x:v>
      </x:c>
    </x:row>
    <x:row r="71" ht="52" customHeight="1">
      <x:c r="A71" s="101" t="str">
        <x:v>Balanced</x:v>
      </x:c>
      <x:c r="B71" s="101" t="str">
        <x:v>Medium tolerance</x:v>
      </x:c>
      <x:c r="C71" s="101" t="n">
        <x:v>1</x:v>
      </x:c>
      <x:c r="D71" s="101" t="str">
        <x:v>Australian Grand Prix</x:v>
      </x:c>
      <x:c r="E71" s="101" t="str">
        <x:v>reconstructed</x:v>
      </x:c>
      <x:c r="F71" s="101" t="str"/>
      <x:c r="G71" s="102" t="n">
        <x:v>100</x:v>
      </x:c>
      <x:c r="H71" s="102" t="n">
        <x:v>96.7</x:v>
      </x:c>
      <x:c r="I71" s="102" t="n">
        <x:v>102.9</x:v>
      </x:c>
      <x:c r="J71" s="105" t="str">
        <x:v>RUS</x:v>
      </x:c>
      <x:c r="K71" s="105" t="str">
        <x:v>RUS, ALB, OCO, LIN, BOR</x:v>
      </x:c>
      <x:c r="L71" s="105" t="str">
        <x:v>Mercedes, Haas</x:v>
      </x:c>
      <x:c r="M71" s="106" t="n">
        <x:v>0</x:v>
      </x:c>
      <x:c r="N71" s="106" t="n">
        <x:v>0</x:v>
      </x:c>
      <x:c r="O71" s="106" t="n">
        <x:v>0</x:v>
      </x:c>
      <x:c r="P71" s="107" t="n">
        <x:v>228.8</x:v>
      </x:c>
      <x:c r="Q71" s="107" t="n">
        <x:v>2.4</x:v>
      </x:c>
      <x:c r="R71" s="107" t="n">
        <x:v>15.5</x:v>
      </x:c>
      <x:c r="S71" s="106" t="n">
        <x:v>253</x:v>
      </x:c>
      <x:c r="T71" s="105" t="str">
        <x:v>Initial selection</x:v>
      </x:c>
      <x:c r="U71" s="105" t="str">
        <x:v>Initial team selected by the manager philosophy and risk profile under the $100.0M cap.</x:v>
      </x:c>
    </x:row>
    <x:row r="72" ht="52" customHeight="1">
      <x:c r="A72" s="101" t="str">
        <x:v>Balanced</x:v>
      </x:c>
      <x:c r="B72" s="101" t="str">
        <x:v>Medium tolerance</x:v>
      </x:c>
      <x:c r="C72" s="101" t="n">
        <x:v>2</x:v>
      </x:c>
      <x:c r="D72" s="101" t="str">
        <x:v>Chinese Grand Prix</x:v>
      </x:c>
      <x:c r="E72" s="101" t="str">
        <x:v>reconstructed</x:v>
      </x:c>
      <x:c r="F72" s="101" t="str"/>
      <x:c r="G72" s="102" t="n">
        <x:v>102.9</x:v>
      </x:c>
      <x:c r="H72" s="102" t="n">
        <x:v>95</x:v>
      </x:c>
      <x:c r="I72" s="102" t="n">
        <x:v>102.9</x:v>
      </x:c>
      <x:c r="J72" s="105" t="str">
        <x:v>ANT</x:v>
      </x:c>
      <x:c r="K72" s="105" t="str">
        <x:v>ANT, ALB, OCO, COL, BOR</x:v>
      </x:c>
      <x:c r="L72" s="105" t="str">
        <x:v>Mercedes, Haas</x:v>
      </x:c>
      <x:c r="M72" s="106" t="n">
        <x:v>2</x:v>
      </x:c>
      <x:c r="N72" s="106" t="n">
        <x:v>2</x:v>
      </x:c>
      <x:c r="O72" s="106" t="n">
        <x:v>0</x:v>
      </x:c>
      <x:c r="P72" s="107" t="n">
        <x:v>319.3</x:v>
      </x:c>
      <x:c r="Q72" s="107" t="n">
        <x:v>3.2</x:v>
      </x:c>
      <x:c r="R72" s="107" t="n">
        <x:v>22</x:v>
      </x:c>
      <x:c r="S72" s="106" t="n">
        <x:v>337</x:v>
      </x:c>
      <x:c r="T72" s="105" t="str">
        <x:v>LIN (Arvid Lindblad) → COL (Franco Colapinto)
RUS (George Russell) → ANT (Kimi Antonelli)</x:v>
      </x:c>
      <x:c r="U72" s="105" t="str">
        <x:v>LIN (Arvid Lindblad) → COL (Franco Colapinto): raised approximate per-asset strategy/risk utility by +8.6; projection +5.6 pts; negative-P5 exposure -4.0; released $0.4M.
RUS (George Russell) → ANT (Kimi Antonelli): raised approximate per-asset strategy/risk utility by +2.7; projection +2.7 pts; released $4.2M; became the projected 2x captain.</x:v>
      </x:c>
    </x:row>
    <x:row r="73" ht="52" customHeight="1">
      <x:c r="A73" s="101" t="str">
        <x:v>Balanced</x:v>
      </x:c>
      <x:c r="B73" s="101" t="str">
        <x:v>Medium tolerance</x:v>
      </x:c>
      <x:c r="C73" s="101" t="n">
        <x:v>3</x:v>
      </x:c>
      <x:c r="D73" s="101" t="str">
        <x:v>Japanese Grand Prix</x:v>
      </x:c>
      <x:c r="E73" s="101" t="str">
        <x:v>reconstructed</x:v>
      </x:c>
      <x:c r="F73" s="101" t="str"/>
      <x:c r="G73" s="102" t="n">
        <x:v>102.9</x:v>
      </x:c>
      <x:c r="H73" s="102" t="n">
        <x:v>91.6</x:v>
      </x:c>
      <x:c r="I73" s="102" t="n">
        <x:v>104.9</x:v>
      </x:c>
      <x:c r="J73" s="105" t="str">
        <x:v>ANT</x:v>
      </x:c>
      <x:c r="K73" s="105" t="str">
        <x:v>ANT, OCO, LIN, COL, BOR</x:v>
      </x:c>
      <x:c r="L73" s="105" t="str">
        <x:v>Mercedes, Haas</x:v>
      </x:c>
      <x:c r="M73" s="106" t="n">
        <x:v>1</x:v>
      </x:c>
      <x:c r="N73" s="106" t="n">
        <x:v>1</x:v>
      </x:c>
      <x:c r="O73" s="106" t="n">
        <x:v>0</x:v>
      </x:c>
      <x:c r="P73" s="107" t="n">
        <x:v>233.3</x:v>
      </x:c>
      <x:c r="Q73" s="107" t="n">
        <x:v>2.4</x:v>
      </x:c>
      <x:c r="R73" s="107" t="n">
        <x:v>17.5</x:v>
      </x:c>
      <x:c r="S73" s="106" t="n">
        <x:v>205</x:v>
      </x:c>
      <x:c r="T73" s="105" t="str">
        <x:v>ALB (Alex Albon) → LIN (Arvid Lindblad)</x:v>
      </x:c>
      <x:c r="U73" s="105" t="str">
        <x:v>ALB (Alex Albon) → LIN (Arvid Lindblad): raised approximate per-asset strategy/risk utility by +20.4; projection +7.8 pts; forecast price change +1.2M; negative-P5 exposure -4.0; released $3.4M.</x:v>
      </x:c>
    </x:row>
    <x:row r="74" ht="52" customHeight="1">
      <x:c r="A74" s="101" t="str">
        <x:v>Balanced</x:v>
      </x:c>
      <x:c r="B74" s="101" t="str">
        <x:v>Medium tolerance</x:v>
      </x:c>
      <x:c r="C74" s="101" t="n">
        <x:v>6</x:v>
      </x:c>
      <x:c r="D74" s="101" t="str">
        <x:v>Miami Grand Prix</x:v>
      </x:c>
      <x:c r="E74" s="101" t="str">
        <x:v>genuine</x:v>
      </x:c>
      <x:c r="F74" s="101" t="str"/>
      <x:c r="G74" s="102" t="n">
        <x:v>104.9</x:v>
      </x:c>
      <x:c r="H74" s="102" t="n">
        <x:v>94.2</x:v>
      </x:c>
      <x:c r="I74" s="102" t="n">
        <x:v>107.3</x:v>
      </x:c>
      <x:c r="J74" s="105" t="str">
        <x:v>ANT</x:v>
      </x:c>
      <x:c r="K74" s="105" t="str">
        <x:v>ANT, OCO, LIN, COL, LAW</x:v>
      </x:c>
      <x:c r="L74" s="105" t="str">
        <x:v>Mercedes, Racing Bulls</x:v>
      </x:c>
      <x:c r="M74" s="106" t="n">
        <x:v>2</x:v>
      </x:c>
      <x:c r="N74" s="106" t="n">
        <x:v>1</x:v>
      </x:c>
      <x:c r="O74" s="106" t="n">
        <x:v>10</x:v>
      </x:c>
      <x:c r="P74" s="107" t="n">
        <x:v>351.5</x:v>
      </x:c>
      <x:c r="Q74" s="107" t="n">
        <x:v>3.6</x:v>
      </x:c>
      <x:c r="R74" s="107" t="n">
        <x:v>5</x:v>
      </x:c>
      <x:c r="S74" s="106" t="n">
        <x:v>191</x:v>
      </x:c>
      <x:c r="T74" s="105" t="str">
        <x:v>BOR (Gabriel Bortoleto) → LAW (Liam Lawson)
Haas → Racing Bulls</x:v>
      </x:c>
      <x:c r="U74" s="105" t="str">
        <x:v>BOR (Gabriel Bortoleto) → LAW (Liam Lawson): raised approximate per-asset strategy/risk utility by +27.0; projection +9.9 pts; forecast price change +1.2M; negative-P5 exposure -10.0; spent $1.7M more.
Haas → Racing Bulls: raised approximate per-asset strategy/risk utility by +11.4; projection +11.4 pts; released $1.1M.</x:v>
      </x:c>
    </x:row>
    <x:row r="75" ht="52" customHeight="1">
      <x:c r="A75" s="101" t="str">
        <x:v>Balanced</x:v>
      </x:c>
      <x:c r="B75" s="101" t="str">
        <x:v>Medium tolerance</x:v>
      </x:c>
      <x:c r="C75" s="101" t="n">
        <x:v>7</x:v>
      </x:c>
      <x:c r="D75" s="101" t="str">
        <x:v>Canadian Grand Prix</x:v>
      </x:c>
      <x:c r="E75" s="101" t="str">
        <x:v>genuine</x:v>
      </x:c>
      <x:c r="F75" s="101" t="str"/>
      <x:c r="G75" s="102" t="n">
        <x:v>107.3</x:v>
      </x:c>
      <x:c r="H75" s="102" t="n">
        <x:v>101.5</x:v>
      </x:c>
      <x:c r="I75" s="102" t="n">
        <x:v>108.5</x:v>
      </x:c>
      <x:c r="J75" s="105" t="str">
        <x:v>ANT</x:v>
      </x:c>
      <x:c r="K75" s="105" t="str">
        <x:v>ANT, SAI, OCO, LIN, COL</x:v>
      </x:c>
      <x:c r="L75" s="105" t="str">
        <x:v>Mercedes, Racing Bulls</x:v>
      </x:c>
      <x:c r="M75" s="106" t="n">
        <x:v>1</x:v>
      </x:c>
      <x:c r="N75" s="106" t="n">
        <x:v>1</x:v>
      </x:c>
      <x:c r="O75" s="106" t="n">
        <x:v>0</x:v>
      </x:c>
      <x:c r="P75" s="107" t="n">
        <x:v>303.7</x:v>
      </x:c>
      <x:c r="Q75" s="107" t="n">
        <x:v>2</x:v>
      </x:c>
      <x:c r="R75" s="107" t="n">
        <x:v>20</x:v>
      </x:c>
      <x:c r="S75" s="106" t="n">
        <x:v>250</x:v>
      </x:c>
      <x:c r="T75" s="105" t="str">
        <x:v>LAW (Liam Lawson) → SAI (Carlos Sainz)</x:v>
      </x:c>
      <x:c r="U75" s="105" t="str">
        <x:v>LAW (Liam Lawson) → SAI (Carlos Sainz): raised approximate per-asset strategy/risk utility by +17.0; projection +0.1 pts; forecast price change +0.8M; negative-P5 exposure -14.0; spent $4.9M more.</x:v>
      </x:c>
    </x:row>
    <x:row r="76" ht="52" customHeight="1">
      <x:c r="A76" s="101" t="str">
        <x:v>Balanced</x:v>
      </x:c>
      <x:c r="B76" s="101" t="str">
        <x:v>Medium tolerance</x:v>
      </x:c>
      <x:c r="C76" s="101" t="n">
        <x:v>8</x:v>
      </x:c>
      <x:c r="D76" s="101" t="str">
        <x:v>Monaco Grand Prix</x:v>
      </x:c>
      <x:c r="E76" s="101" t="str">
        <x:v>genuine</x:v>
      </x:c>
      <x:c r="F76" s="101" t="str">
        <x:v>limitless</x:v>
      </x:c>
      <x:c r="G76" s="102" t="n">
        <x:v>108.5</x:v>
      </x:c>
      <x:c r="H76" s="102" t="n">
        <x:v>181.5</x:v>
      </x:c>
      <x:c r="I76" s="102" t="n">
        <x:v>109.7</x:v>
      </x:c>
      <x:c r="J76" s="105" t="str">
        <x:v>LEC</x:v>
      </x:c>
      <x:c r="K76" s="105" t="str">
        <x:v>RUS, PIA, ANT, LEC, HAM</x:v>
      </x:c>
      <x:c r="L76" s="105" t="str">
        <x:v>Mercedes, Ferrari</x:v>
      </x:c>
      <x:c r="M76" s="106" t="n">
        <x:v>0</x:v>
      </x:c>
      <x:c r="N76" s="106" t="n">
        <x:v>1</x:v>
      </x:c>
      <x:c r="O76" s="106" t="n">
        <x:v>0</x:v>
      </x:c>
      <x:c r="P76" s="107" t="n">
        <x:v>310.6</x:v>
      </x:c>
      <x:c r="Q76" s="107" t="n">
        <x:v>1.3</x:v>
      </x:c>
      <x:c r="R76" s="107" t="n">
        <x:v>6</x:v>
      </x:c>
      <x:c r="S76" s="106" t="n">
        <x:v>171</x:v>
      </x:c>
      <x:c r="T76" s="105" t="str">
        <x:v>Temporary Limitless lineup; owned team reverted</x:v>
      </x:c>
      <x:c r="U76" s="105" t="str">
        <x:v>Limitless temporarily added HAM (Lewis Hamilton), LEC (Charles Leclerc), PIA (Oscar Piastri), RUS (George Russell), Ferrari. Most qualifying-dependent completed circuit: 10/10 overtaking difficulty, where an unrestricted premium lineup should create the largest advantage over budget-constrained teams. The owned team reverted after the round.</x:v>
      </x:c>
    </x:row>
    <x:row r="77" ht="52" customHeight="1">
      <x:c r="A77" s="101" t="str">
        <x:v>Balanced</x:v>
      </x:c>
      <x:c r="B77" s="101" t="str">
        <x:v>Medium tolerance</x:v>
      </x:c>
      <x:c r="C77" s="101" t="n">
        <x:v>9</x:v>
      </x:c>
      <x:c r="D77" s="101" t="str">
        <x:v>Spanish Grand Prix</x:v>
      </x:c>
      <x:c r="E77" s="101" t="str">
        <x:v>genuine</x:v>
      </x:c>
      <x:c r="F77" s="101" t="str"/>
      <x:c r="G77" s="102" t="n">
        <x:v>109.7</x:v>
      </x:c>
      <x:c r="H77" s="102" t="n">
        <x:v>109.7</x:v>
      </x:c>
      <x:c r="I77" s="102" t="n">
        <x:v>111</x:v>
      </x:c>
      <x:c r="J77" s="105" t="str">
        <x:v>ANT</x:v>
      </x:c>
      <x:c r="K77" s="105" t="str">
        <x:v>ANT, OCO, LIN, COL, HUL</x:v>
      </x:c>
      <x:c r="L77" s="105" t="str">
        <x:v>Mercedes, Ferrari</x:v>
      </x:c>
      <x:c r="M77" s="106" t="n">
        <x:v>2</x:v>
      </x:c>
      <x:c r="N77" s="106" t="n">
        <x:v>2</x:v>
      </x:c>
      <x:c r="O77" s="106" t="n">
        <x:v>0</x:v>
      </x:c>
      <x:c r="P77" s="107" t="n">
        <x:v>225.5</x:v>
      </x:c>
      <x:c r="Q77" s="107" t="n">
        <x:v>0.5</x:v>
      </x:c>
      <x:c r="R77" s="107" t="n">
        <x:v>18</x:v>
      </x:c>
      <x:c r="S77" s="106" t="n">
        <x:v>101</x:v>
      </x:c>
      <x:c r="T77" s="105" t="str">
        <x:v>SAI (Carlos Sainz) → HUL (Nico Hulkenberg)
Racing Bulls → Ferrari</x:v>
      </x:c>
      <x:c r="U77" s="105" t="str">
        <x:v>SAI (Carlos Sainz) → HUL (Nico Hulkenberg): raised approximate per-asset strategy/risk utility by +4.5; projection +1.3 pts; forecast price change +0.4M; released $9.4M.
Racing Bulls → Ferrari: raised approximate per-asset strategy/risk utility by +39.7; projection +42.1 pts; forecast price change -0.3M; spent $15.2M more.</x:v>
      </x:c>
    </x:row>
    <x:row r="78" ht="52" customHeight="1">
      <x:c r="A78" s="101" t="str">
        <x:v>Balanced</x:v>
      </x:c>
      <x:c r="B78" s="101" t="str">
        <x:v>Medium tolerance</x:v>
      </x:c>
      <x:c r="C78" s="101" t="n">
        <x:v>10</x:v>
      </x:c>
      <x:c r="D78" s="101" t="str">
        <x:v>Austrian Grand Prix</x:v>
      </x:c>
      <x:c r="E78" s="101" t="str">
        <x:v>genuine</x:v>
      </x:c>
      <x:c r="F78" s="101" t="str">
        <x:v>no negative</x:v>
      </x:c>
      <x:c r="G78" s="102" t="n">
        <x:v>111</x:v>
      </x:c>
      <x:c r="H78" s="102" t="n">
        <x:v>109.9</x:v>
      </x:c>
      <x:c r="I78" s="102" t="n">
        <x:v>112.1</x:v>
      </x:c>
      <x:c r="J78" s="105" t="str">
        <x:v>HAM</x:v>
      </x:c>
      <x:c r="K78" s="105" t="str">
        <x:v>HAM, OCO, LIN, COL, HUL</x:v>
      </x:c>
      <x:c r="L78" s="105" t="str">
        <x:v>Mercedes, Ferrari</x:v>
      </x:c>
      <x:c r="M78" s="106" t="n">
        <x:v>1</x:v>
      </x:c>
      <x:c r="N78" s="106" t="n">
        <x:v>1</x:v>
      </x:c>
      <x:c r="O78" s="106" t="n">
        <x:v>0</x:v>
      </x:c>
      <x:c r="P78" s="107" t="n">
        <x:v>203.3</x:v>
      </x:c>
      <x:c r="Q78" s="107" t="n">
        <x:v>1.1</x:v>
      </x:c>
      <x:c r="R78" s="107" t="n">
        <x:v>31</x:v>
      </x:c>
      <x:c r="S78" s="106" t="n">
        <x:v>223</x:v>
      </x:c>
      <x:c r="T78" s="105" t="str">
        <x:v>ANT (Kimi Antonelli) → HAM (Lewis Hamilton)</x:v>
      </x:c>
      <x:c r="U78" s="105" t="str">
        <x:v>ANT (Kimi Antonelli) → HAM (Lewis Hamilton): raised approximate per-asset strategy/risk utility by +7.7; gave up 4.6 projected pts; forecast price change +0.2M; negative-P5 exposure -14.3; released $1.1M; became the projected 2x captain.
No Negative: Highest combined pre-race attrition signal after accounting for field DNF probability (18.5%), weather DNF multiplier (1.10x), and rain risk (LOW).</x:v>
      </x:c>
    </x:row>
    <x:row r="79" ht="52" customHeight="1">
      <x:c r="A79" s="101" t="str">
        <x:v>Balanced</x:v>
      </x:c>
      <x:c r="B79" s="101" t="str">
        <x:v>Medium tolerance</x:v>
      </x:c>
      <x:c r="C79" s="101" t="n">
        <x:v>11</x:v>
      </x:c>
      <x:c r="D79" s="101" t="str">
        <x:v>British Grand Prix</x:v>
      </x:c>
      <x:c r="E79" s="101" t="str">
        <x:v>genuine</x:v>
      </x:c>
      <x:c r="F79" s="101" t="str">
        <x:v>autopilot</x:v>
      </x:c>
      <x:c r="G79" s="102" t="n">
        <x:v>112.1</x:v>
      </x:c>
      <x:c r="H79" s="102" t="n">
        <x:v>111.9</x:v>
      </x:c>
      <x:c r="I79" s="102" t="n">
        <x:v>114</x:v>
      </x:c>
      <x:c r="J79" s="105" t="str">
        <x:v>COL</x:v>
      </x:c>
      <x:c r="K79" s="105" t="str">
        <x:v>ANT, OCO, LIN, COL, HUL</x:v>
      </x:c>
      <x:c r="L79" s="105" t="str">
        <x:v>Mercedes, Ferrari</x:v>
      </x:c>
      <x:c r="M79" s="106" t="n">
        <x:v>1</x:v>
      </x:c>
      <x:c r="N79" s="106" t="n">
        <x:v>1</x:v>
      </x:c>
      <x:c r="O79" s="106" t="n">
        <x:v>0</x:v>
      </x:c>
      <x:c r="P79" s="107" t="n">
        <x:v>247.2</x:v>
      </x:c>
      <x:c r="Q79" s="107" t="n">
        <x:v>1.1</x:v>
      </x:c>
      <x:c r="R79" s="107" t="n">
        <x:v>49.1</x:v>
      </x:c>
      <x:c r="S79" s="106" t="n">
        <x:v>291</x:v>
      </x:c>
      <x:c r="T79" s="105" t="str">
        <x:v>HAM (Lewis Hamilton) → ANT (Kimi Antonelli)</x:v>
      </x:c>
      <x:c r="U79" s="105" t="str">
        <x:v>HAM (Lewis Hamilton) → ANT (Kimi Antonelli): was -0.7 utility on this explanatory pairing but enabled the higher-utility seven-asset lineup; projection +1.0 pts; forecast price change -0.4M; negative-P5 exposure -2.0; spent $0.9M more.
Autopilot: Greatest remaining forecast uncertainty between captain candidates.</x:v>
      </x:c>
    </x:row>
    <x:row r="80" ht="52" customHeight="1">
      <x:c r="A80" s="101" t="str">
        <x:v>Balanced</x:v>
      </x:c>
      <x:c r="B80" s="101" t="str">
        <x:v>Medium tolerance</x:v>
      </x:c>
      <x:c r="C80" s="101" t="n">
        <x:v>12</x:v>
      </x:c>
      <x:c r="D80" s="101" t="str">
        <x:v>Belgian Grand Prix</x:v>
      </x:c>
      <x:c r="E80" s="101" t="str">
        <x:v>genuine</x:v>
      </x:c>
      <x:c r="F80" s="101" t="str">
        <x:v>wild card</x:v>
      </x:c>
      <x:c r="G80" s="102" t="n">
        <x:v>114</x:v>
      </x:c>
      <x:c r="H80" s="102" t="n">
        <x:v>111.7</x:v>
      </x:c>
      <x:c r="I80" s="102" t="n">
        <x:v>116.5</x:v>
      </x:c>
      <x:c r="J80" s="105" t="str">
        <x:v>HAD</x:v>
      </x:c>
      <x:c r="K80" s="105" t="str">
        <x:v>NOR, HAD, LIN, BOR, HUL</x:v>
      </x:c>
      <x:c r="L80" s="105" t="str">
        <x:v>Red Bull, Ferrari</x:v>
      </x:c>
      <x:c r="M80" s="106" t="n">
        <x:v>4</x:v>
      </x:c>
      <x:c r="N80" s="106" t="n">
        <x:v>1</x:v>
      </x:c>
      <x:c r="O80" s="106" t="n">
        <x:v>0</x:v>
      </x:c>
      <x:c r="P80" s="107" t="n">
        <x:v>223.5</x:v>
      </x:c>
      <x:c r="Q80" s="107" t="n">
        <x:v>2.1</x:v>
      </x:c>
      <x:c r="R80" s="107" t="n">
        <x:v>75.7</x:v>
      </x:c>
      <x:c r="S80" s="106" t="n">
        <x:v>283</x:v>
      </x:c>
      <x:c r="T80" s="105" t="str">
        <x:v>ANT (Kimi Antonelli) → NOR (Lando Norris)
COL (Franco Colapinto) → HAD (Isack Hadjar)
OCO (Esteban Ocon) → BOR (Gabriel Bortoleto)
Mercedes → Red Bull</x:v>
      </x:c>
      <x:c r="U80" s="105" t="str">
        <x:v>ANT (Kimi Antonelli) → NOR (Lando Norris): Wild Card made the permanent rebuild free; Forecasted competitive-order change called for 4 lineup changes and a 20.9-utility improvement; this is the upgrade/order-shift proxy.; raised approximate per-asset strategy/risk utility by +1.6; projection +5.8 pts; negative-P5 exposure +5.6; spent $0.4M more.
COL (Franco Colapinto) → HAD (Isack Hadjar): Wild Card made the permanent rebuild free; Forecasted competitive-order change called for 4 lineup changes and a 20.9-utility improvement; this is the upgrade/order-shift proxy.; raised approximate per-asset strategy/risk utility by +30.6; projection +30.6 pts; spent $2.9M more; became the projected 2x captain.
OCO (Esteban Ocon) → BOR (Gabriel Bortoleto): Wild Card made the permanent rebuild free; Forecasted competitive-order change called for 4 lineup changes and a 20.9-utility improvement; this is the upgrade/order-shift proxy.; was -1.0 utility on this explanatory pairing but enabled the higher-utility seven-asset lineup; gave up 1.3 projected pts; negative-P5 exposure -0.4; released $3.7M.
Mercedes → Red Bull: Wild Card made the permanent rebuild free; Forecasted competitive-order change called for 4 lineup changes and a 20.9-utility improvement; this is the upgrade/order-shift proxy.; raised approximate per-asset strategy/risk utility by +9.3; projection +9.3 pts; released $1.7M.</x:v>
      </x:c>
    </x:row>
    <x:row r="81" ht="52" customHeight="1">
      <x:c r="A81" s="101" t="str">
        <x:v>Balanced</x:v>
      </x:c>
      <x:c r="B81" s="101" t="str">
        <x:v>Medium tolerance</x:v>
      </x:c>
      <x:c r="C81" s="101" t="n">
        <x:v>13</x:v>
      </x:c>
      <x:c r="D81" s="101" t="str">
        <x:v>Hungarian Grand Prix</x:v>
      </x:c>
      <x:c r="E81" s="101" t="str">
        <x:v>genuine</x:v>
      </x:c>
      <x:c r="F81" s="101" t="str"/>
      <x:c r="G81" s="102" t="n">
        <x:v>116.5</x:v>
      </x:c>
      <x:c r="H81" s="102" t="n">
        <x:v>113.4</x:v>
      </x:c>
      <x:c r="I81" s="102" t="n">
        <x:v>118.9</x:v>
      </x:c>
      <x:c r="J81" s="105" t="str">
        <x:v>HAM</x:v>
      </x:c>
      <x:c r="K81" s="105" t="str">
        <x:v>HAM, HAD, LIN, BOR, HUL</x:v>
      </x:c>
      <x:c r="L81" s="105" t="str">
        <x:v>McLaren, Ferrari</x:v>
      </x:c>
      <x:c r="M81" s="106" t="n">
        <x:v>2</x:v>
      </x:c>
      <x:c r="N81" s="106" t="n">
        <x:v>2</x:v>
      </x:c>
      <x:c r="O81" s="106" t="n">
        <x:v>0</x:v>
      </x:c>
      <x:c r="P81" s="107" t="n">
        <x:v>182.4</x:v>
      </x:c>
      <x:c r="Q81" s="107" t="n">
        <x:v>1.7</x:v>
      </x:c>
      <x:c r="R81" s="107" t="n">
        <x:v>68.3</x:v>
      </x:c>
      <x:c r="S81" s="106" t="n">
        <x:v>197</x:v>
      </x:c>
      <x:c r="T81" s="105" t="str">
        <x:v>NOR (Lando Norris) → HAM (Lewis Hamilton)
Red Bull → McLaren</x:v>
      </x:c>
      <x:c r="U81" s="105" t="str">
        <x:v>NOR (Lando Norris) → HAM (Lewis Hamilton): raised approximate per-asset strategy/risk utility by +8.8; projection +6.9 pts; forecast price change -0.2M; negative-P5 exposure -4.6; released $0.9M; became the projected 2x captain.
Red Bull → McLaren: raised approximate per-asset strategy/risk utility by +20.7; projection +20.7 pts; spent $0.1M more.</x:v>
      </x:c>
    </x:row>
    <x:row r="82" ht="52" customHeight="1">
      <x:c r="A82" s="101" t="str">
        <x:v>Balanced</x:v>
      </x:c>
      <x:c r="B82" s="101" t="str">
        <x:v>Maximum tolerance</x:v>
      </x:c>
      <x:c r="C82" s="101" t="n">
        <x:v>1</x:v>
      </x:c>
      <x:c r="D82" s="101" t="str">
        <x:v>Australian Grand Prix</x:v>
      </x:c>
      <x:c r="E82" s="101" t="str">
        <x:v>reconstructed</x:v>
      </x:c>
      <x:c r="F82" s="101" t="str"/>
      <x:c r="G82" s="102" t="n">
        <x:v>100</x:v>
      </x:c>
      <x:c r="H82" s="102" t="n">
        <x:v>98.8</x:v>
      </x:c>
      <x:c r="I82" s="102" t="n">
        <x:v>100.7</x:v>
      </x:c>
      <x:c r="J82" s="105" t="str">
        <x:v>RUS</x:v>
      </x:c>
      <x:c r="K82" s="105" t="str">
        <x:v>RUS, HAD, OCO, LIN, BOR</x:v>
      </x:c>
      <x:c r="L82" s="105" t="str">
        <x:v>Mercedes, Audi</x:v>
      </x:c>
      <x:c r="M82" s="106" t="n">
        <x:v>0</x:v>
      </x:c>
      <x:c r="N82" s="106" t="n">
        <x:v>0</x:v>
      </x:c>
      <x:c r="O82" s="106" t="n">
        <x:v>0</x:v>
      </x:c>
      <x:c r="P82" s="107" t="n">
        <x:v>230.2</x:v>
      </x:c>
      <x:c r="Q82" s="107" t="n">
        <x:v>2.4</x:v>
      </x:c>
      <x:c r="R82" s="107" t="n">
        <x:v>40.5</x:v>
      </x:c>
      <x:c r="S82" s="106" t="n">
        <x:v>203</x:v>
      </x:c>
      <x:c r="T82" s="105" t="str">
        <x:v>Initial selection</x:v>
      </x:c>
      <x:c r="U82" s="105" t="str">
        <x:v>Initial team selected by the manager philosophy and risk profile under the $100.0M cap.</x:v>
      </x:c>
    </x:row>
    <x:row r="83" ht="52" customHeight="1">
      <x:c r="A83" s="101" t="str">
        <x:v>Balanced</x:v>
      </x:c>
      <x:c r="B83" s="101" t="str">
        <x:v>Maximum tolerance</x:v>
      </x:c>
      <x:c r="C83" s="101" t="n">
        <x:v>2</x:v>
      </x:c>
      <x:c r="D83" s="101" t="str">
        <x:v>Chinese Grand Prix</x:v>
      </x:c>
      <x:c r="E83" s="101" t="str">
        <x:v>reconstructed</x:v>
      </x:c>
      <x:c r="F83" s="101" t="str"/>
      <x:c r="G83" s="102" t="n">
        <x:v>100.7</x:v>
      </x:c>
      <x:c r="H83" s="102" t="n">
        <x:v>88.4</x:v>
      </x:c>
      <x:c r="I83" s="102" t="n">
        <x:v>100.7</x:v>
      </x:c>
      <x:c r="J83" s="105" t="str">
        <x:v>ANT</x:v>
      </x:c>
      <x:c r="K83" s="105" t="str">
        <x:v>ANT, OCO, LIN, COL, BOR</x:v>
      </x:c>
      <x:c r="L83" s="105" t="str">
        <x:v>Mercedes, Audi</x:v>
      </x:c>
      <x:c r="M83" s="106" t="n">
        <x:v>2</x:v>
      </x:c>
      <x:c r="N83" s="106" t="n">
        <x:v>2</x:v>
      </x:c>
      <x:c r="O83" s="106" t="n">
        <x:v>0</x:v>
      </x:c>
      <x:c r="P83" s="107" t="n">
        <x:v>308.3</x:v>
      </x:c>
      <x:c r="Q83" s="107" t="n">
        <x:v>3.6</x:v>
      </x:c>
      <x:c r="R83" s="107" t="n">
        <x:v>31.5</x:v>
      </x:c>
      <x:c r="S83" s="106" t="n">
        <x:v>282</x:v>
      </x:c>
      <x:c r="T83" s="105" t="str">
        <x:v>HAD (Isack Hadjar) → COL (Franco Colapinto)
RUS (George Russell) → ANT (Kimi Antonelli)</x:v>
      </x:c>
      <x:c r="U83" s="105" t="str">
        <x:v>HAD (Isack Hadjar) → COL (Franco Colapinto): raised approximate per-asset strategy/risk utility by +9.7; projection +0.1 pts; forecast price change +1.2M; negative-P5 exposure -10.0; released $6.9M.
RUS (George Russell) → ANT (Kimi Antonelli): raised approximate per-asset strategy/risk utility by +2.7; projection +2.7 pts; released $4.2M; became the projected 2x captain.</x:v>
      </x:c>
    </x:row>
    <x:row r="84" ht="52" customHeight="1">
      <x:c r="A84" s="101" t="str">
        <x:v>Balanced</x:v>
      </x:c>
      <x:c r="B84" s="101" t="str">
        <x:v>Maximum tolerance</x:v>
      </x:c>
      <x:c r="C84" s="101" t="n">
        <x:v>3</x:v>
      </x:c>
      <x:c r="D84" s="101" t="str">
        <x:v>Japanese Grand Prix</x:v>
      </x:c>
      <x:c r="E84" s="101" t="str">
        <x:v>reconstructed</x:v>
      </x:c>
      <x:c r="F84" s="101" t="str"/>
      <x:c r="G84" s="102" t="n">
        <x:v>100.7</x:v>
      </x:c>
      <x:c r="H84" s="102" t="n">
        <x:v>96.7</x:v>
      </x:c>
      <x:c r="I84" s="102" t="n">
        <x:v>102.7</x:v>
      </x:c>
      <x:c r="J84" s="105" t="str">
        <x:v>ANT</x:v>
      </x:c>
      <x:c r="K84" s="105" t="str">
        <x:v>ANT, OCO, LIN, COL, BOR</x:v>
      </x:c>
      <x:c r="L84" s="105" t="str">
        <x:v>Mercedes, Alpine</x:v>
      </x:c>
      <x:c r="M84" s="106" t="n">
        <x:v>1</x:v>
      </x:c>
      <x:c r="N84" s="106" t="n">
        <x:v>1</x:v>
      </x:c>
      <x:c r="O84" s="106" t="n">
        <x:v>0</x:v>
      </x:c>
      <x:c r="P84" s="107" t="n">
        <x:v>234.4</x:v>
      </x:c>
      <x:c r="Q84" s="107" t="n">
        <x:v>2.4</x:v>
      </x:c>
      <x:c r="R84" s="107" t="n">
        <x:v>20.5</x:v>
      </x:c>
      <x:c r="S84" s="106" t="n">
        <x:v>234</x:v>
      </x:c>
      <x:c r="T84" s="105" t="str">
        <x:v>Audi → Alpine</x:v>
      </x:c>
      <x:c r="U84" s="105" t="str">
        <x:v>Audi → Alpine: raised approximate per-asset strategy/risk utility by +12.0; projection +8.8 pts; forecast price change +0.4M; negative-P5 exposure -1.0; spent $8.3M more.</x:v>
      </x:c>
    </x:row>
    <x:row r="85" ht="52" customHeight="1">
      <x:c r="A85" s="101" t="str">
        <x:v>Balanced</x:v>
      </x:c>
      <x:c r="B85" s="101" t="str">
        <x:v>Maximum tolerance</x:v>
      </x:c>
      <x:c r="C85" s="101" t="n">
        <x:v>6</x:v>
      </x:c>
      <x:c r="D85" s="101" t="str">
        <x:v>Miami Grand Prix</x:v>
      </x:c>
      <x:c r="E85" s="101" t="str">
        <x:v>genuine</x:v>
      </x:c>
      <x:c r="F85" s="101" t="str"/>
      <x:c r="G85" s="102" t="n">
        <x:v>102.7</x:v>
      </x:c>
      <x:c r="H85" s="102" t="n">
        <x:v>94.2</x:v>
      </x:c>
      <x:c r="I85" s="102" t="n">
        <x:v>105.1</x:v>
      </x:c>
      <x:c r="J85" s="105" t="str">
        <x:v>ANT</x:v>
      </x:c>
      <x:c r="K85" s="105" t="str">
        <x:v>ANT, OCO, LIN, COL, LAW</x:v>
      </x:c>
      <x:c r="L85" s="105" t="str">
        <x:v>Mercedes, Racing Bulls</x:v>
      </x:c>
      <x:c r="M85" s="106" t="n">
        <x:v>2</x:v>
      </x:c>
      <x:c r="N85" s="106" t="n">
        <x:v>1</x:v>
      </x:c>
      <x:c r="O85" s="106" t="n">
        <x:v>10</x:v>
      </x:c>
      <x:c r="P85" s="107" t="n">
        <x:v>351.5</x:v>
      </x:c>
      <x:c r="Q85" s="107" t="n">
        <x:v>3.6</x:v>
      </x:c>
      <x:c r="R85" s="107" t="n">
        <x:v>5</x:v>
      </x:c>
      <x:c r="S85" s="106" t="n">
        <x:v>191</x:v>
      </x:c>
      <x:c r="T85" s="105" t="str">
        <x:v>BOR (Gabriel Bortoleto) → LAW (Liam Lawson)
Alpine → Racing Bulls</x:v>
      </x:c>
      <x:c r="U85" s="105" t="str">
        <x:v>BOR (Gabriel Bortoleto) → LAW (Liam Lawson): raised approximate per-asset strategy/risk utility by +19.5; projection +9.9 pts; forecast price change +1.2M; negative-P5 exposure -10.0; spent $1.7M more.
Alpine → Racing Bulls: raised approximate per-asset strategy/risk utility by +11.8; projection +11.8 pts; released $6.2M.</x:v>
      </x:c>
    </x:row>
    <x:row r="86" ht="52" customHeight="1">
      <x:c r="A86" s="101" t="str">
        <x:v>Balanced</x:v>
      </x:c>
      <x:c r="B86" s="101" t="str">
        <x:v>Maximum tolerance</x:v>
      </x:c>
      <x:c r="C86" s="101" t="n">
        <x:v>7</x:v>
      </x:c>
      <x:c r="D86" s="101" t="str">
        <x:v>Canadian Grand Prix</x:v>
      </x:c>
      <x:c r="E86" s="101" t="str">
        <x:v>genuine</x:v>
      </x:c>
      <x:c r="F86" s="101" t="str">
        <x:v>wild card</x:v>
      </x:c>
      <x:c r="G86" s="102" t="n">
        <x:v>105.1</x:v>
      </x:c>
      <x:c r="H86" s="102" t="n">
        <x:v>104.3</x:v>
      </x:c>
      <x:c r="I86" s="102" t="n">
        <x:v>106.8</x:v>
      </x:c>
      <x:c r="J86" s="105" t="str">
        <x:v>ANT</x:v>
      </x:c>
      <x:c r="K86" s="105" t="str">
        <x:v>ANT, COL, BOR, PER, BOT</x:v>
      </x:c>
      <x:c r="L86" s="105" t="str">
        <x:v>Mercedes, Ferrari</x:v>
      </x:c>
      <x:c r="M86" s="106" t="n">
        <x:v>4</x:v>
      </x:c>
      <x:c r="N86" s="106" t="n">
        <x:v>1</x:v>
      </x:c>
      <x:c r="O86" s="106" t="n">
        <x:v>0</x:v>
      </x:c>
      <x:c r="P86" s="107" t="n">
        <x:v>329.6</x:v>
      </x:c>
      <x:c r="Q86" s="107" t="n">
        <x:v>1.7</x:v>
      </x:c>
      <x:c r="R86" s="107" t="n">
        <x:v>50</x:v>
      </x:c>
      <x:c r="S86" s="106" t="n">
        <x:v>300</x:v>
      </x:c>
      <x:c r="T86" s="105" t="str">
        <x:v>LAW (Liam Lawson) → BOT (Valtteri Bottas)
LIN (Arvid Lindblad) → BOR (Gabriel Bortoleto)
OCO (Esteban Ocon) → PER (Sergio Perez)
Racing Bulls → Ferrari</x:v>
      </x:c>
      <x:c r="U86" s="105" t="str">
        <x:v>LAW (Liam Lawson) → BOT (Valtteri Bottas): Wild Card made the permanent rebuild free; Forecasted competitive-order change called for 4 lineup changes and a 19.0-utility improvement; this is the upgrade/order-shift proxy.; was -14.7 utility on this explanatory pairing but enabled the higher-utility seven-asset lineup; gave up 14.7 projected pts; negative-P5 exposure +5.0; released $4.2M.
LIN (Arvid Lindblad) → BOR (Gabriel Bortoleto): Wild Card made the permanent rebuild free; Forecasted competitive-order change called for 4 lineup changes and a 19.0-utility improvement; this is the upgrade/order-shift proxy.; raised approximate per-asset strategy/risk utility by +2.2; gave up 4.2 projected pts; forecast price change +0.8M; negative-P5 exposure +4.0; released $1.8M.
OCO (Esteban Ocon) → PER (Sergio Perez): Wild Card made the permanent rebuild free; Forecasted competitive-order change called for 4 lineup changes and a 19.0-utility improvement; this is the upgrade/order-shift proxy.; raised approximate per-asset strategy/risk utility by +0.5; projection +0.5 pts; negative-P5 exposure +7.0; released $2.1M.
Racing Bulls → Ferrari: Wild Card made the permanent rebuild free; Forecasted competitive-order change called for 4 lineup changes and a 19.0-utility improvement; this is the upgrade/order-shift proxy.; raised approximate per-asset strategy/risk utility by +42.0; projection +44.4 pts; forecast price change -0.3M; spent $15.8M more.</x:v>
      </x:c>
    </x:row>
    <x:row r="87" ht="52" customHeight="1">
      <x:c r="A87" s="101" t="str">
        <x:v>Balanced</x:v>
      </x:c>
      <x:c r="B87" s="101" t="str">
        <x:v>Maximum tolerance</x:v>
      </x:c>
      <x:c r="C87" s="101" t="n">
        <x:v>8</x:v>
      </x:c>
      <x:c r="D87" s="101" t="str">
        <x:v>Monaco Grand Prix</x:v>
      </x:c>
      <x:c r="E87" s="101" t="str">
        <x:v>genuine</x:v>
      </x:c>
      <x:c r="F87" s="101" t="str">
        <x:v>limitless</x:v>
      </x:c>
      <x:c r="G87" s="102" t="n">
        <x:v>106.8</x:v>
      </x:c>
      <x:c r="H87" s="102" t="n">
        <x:v>184.9</x:v>
      </x:c>
      <x:c r="I87" s="102" t="n">
        <x:v>107.7</x:v>
      </x:c>
      <x:c r="J87" s="105" t="str">
        <x:v>LEC</x:v>
      </x:c>
      <x:c r="K87" s="105" t="str">
        <x:v>RUS, VER, ANT, LEC, HAM</x:v>
      </x:c>
      <x:c r="L87" s="105" t="str">
        <x:v>Mercedes, Ferrari</x:v>
      </x:c>
      <x:c r="M87" s="106" t="n">
        <x:v>0</x:v>
      </x:c>
      <x:c r="N87" s="106" t="n">
        <x:v>2</x:v>
      </x:c>
      <x:c r="O87" s="106" t="n">
        <x:v>0</x:v>
      </x:c>
      <x:c r="P87" s="107" t="n">
        <x:v>311.9</x:v>
      </x:c>
      <x:c r="Q87" s="107" t="n">
        <x:v>1.5</x:v>
      </x:c>
      <x:c r="R87" s="107" t="n">
        <x:v>12</x:v>
      </x:c>
      <x:c r="S87" s="106" t="n">
        <x:v>144</x:v>
      </x:c>
      <x:c r="T87" s="105" t="str">
        <x:v>Temporary Limitless lineup; owned team reverted</x:v>
      </x:c>
      <x:c r="U87" s="105" t="str">
        <x:v>Limitless temporarily added HAM (Lewis Hamilton), LEC (Charles Leclerc), RUS (George Russell), VER (Max Verstappen). Most qualifying-dependent completed circuit: 10/10 overtaking difficulty, where an unrestricted premium lineup should create the largest advantage over budget-constrained teams. The owned team reverted after the round.</x:v>
      </x:c>
    </x:row>
    <x:row r="88" ht="52" customHeight="1">
      <x:c r="A88" s="101" t="str">
        <x:v>Balanced</x:v>
      </x:c>
      <x:c r="B88" s="101" t="str">
        <x:v>Maximum tolerance</x:v>
      </x:c>
      <x:c r="C88" s="101" t="n">
        <x:v>9</x:v>
      </x:c>
      <x:c r="D88" s="101" t="str">
        <x:v>Spanish Grand Prix</x:v>
      </x:c>
      <x:c r="E88" s="101" t="str">
        <x:v>genuine</x:v>
      </x:c>
      <x:c r="F88" s="101" t="str"/>
      <x:c r="G88" s="102" t="n">
        <x:v>107.7</x:v>
      </x:c>
      <x:c r="H88" s="102" t="n">
        <x:v>107.4</x:v>
      </x:c>
      <x:c r="I88" s="102" t="n">
        <x:v>109</x:v>
      </x:c>
      <x:c r="J88" s="105" t="str">
        <x:v>ANT</x:v>
      </x:c>
      <x:c r="K88" s="105" t="str">
        <x:v>ANT, GAS, LIN, BOR, HUL</x:v>
      </x:c>
      <x:c r="L88" s="105" t="str">
        <x:v>Mercedes, Ferrari</x:v>
      </x:c>
      <x:c r="M88" s="106" t="n">
        <x:v>3</x:v>
      </x:c>
      <x:c r="N88" s="106" t="n">
        <x:v>3</x:v>
      </x:c>
      <x:c r="O88" s="106" t="n">
        <x:v>0</x:v>
      </x:c>
      <x:c r="P88" s="107" t="n">
        <x:v>224.9</x:v>
      </x:c>
      <x:c r="Q88" s="107" t="n">
        <x:v>0.5</x:v>
      </x:c>
      <x:c r="R88" s="107" t="n">
        <x:v>29</x:v>
      </x:c>
      <x:c r="S88" s="106" t="n">
        <x:v>108</x:v>
      </x:c>
      <x:c r="T88" s="105" t="str">
        <x:v>BOT (Valtteri Bottas) → HUL (Nico Hulkenberg)
COL (Franco Colapinto) → GAS (Pierre Gasly)
PER (Sergio Perez) → LIN (Arvid Lindblad)</x:v>
      </x:c>
      <x:c r="U88" s="105" t="str">
        <x:v>BOT (Valtteri Bottas) → HUL (Nico Hulkenberg): raised approximate per-asset strategy/risk utility by +7.4; projection +4.2 pts; forecast price change +0.4M; released $0.7M.
COL (Franco Colapinto) → GAS (Pierre Gasly): raised approximate per-asset strategy/risk utility by +6.1; projection +2.9 pts; forecast price change +0.4M; negative-P5 exposure +9.0; spent $2.2M more.
PER (Sergio Perez) → LIN (Arvid Lindblad): raised approximate per-asset strategy/risk utility by +4.8; projection +4.8 pts; negative-P5 exposure -10.0; released $1.0M.</x:v>
      </x:c>
    </x:row>
    <x:row r="89" ht="52" customHeight="1">
      <x:c r="A89" s="101" t="str">
        <x:v>Balanced</x:v>
      </x:c>
      <x:c r="B89" s="101" t="str">
        <x:v>Maximum tolerance</x:v>
      </x:c>
      <x:c r="C89" s="101" t="n">
        <x:v>10</x:v>
      </x:c>
      <x:c r="D89" s="101" t="str">
        <x:v>Austrian Grand Prix</x:v>
      </x:c>
      <x:c r="E89" s="101" t="str">
        <x:v>genuine</x:v>
      </x:c>
      <x:c r="F89" s="101" t="str">
        <x:v>no negative</x:v>
      </x:c>
      <x:c r="G89" s="102" t="n">
        <x:v>109</x:v>
      </x:c>
      <x:c r="H89" s="102" t="n">
        <x:v>106.8</x:v>
      </x:c>
      <x:c r="I89" s="102" t="n">
        <x:v>110.3</x:v>
      </x:c>
      <x:c r="J89" s="105" t="str">
        <x:v>ANT</x:v>
      </x:c>
      <x:c r="K89" s="105" t="str">
        <x:v>ANT, OCO, LIN, BOR, HUL</x:v>
      </x:c>
      <x:c r="L89" s="105" t="str">
        <x:v>Mercedes, Ferrari</x:v>
      </x:c>
      <x:c r="M89" s="106" t="n">
        <x:v>1</x:v>
      </x:c>
      <x:c r="N89" s="106" t="n">
        <x:v>1</x:v>
      </x:c>
      <x:c r="O89" s="106" t="n">
        <x:v>0</x:v>
      </x:c>
      <x:c r="P89" s="107" t="n">
        <x:v>209.5</x:v>
      </x:c>
      <x:c r="Q89" s="107" t="n">
        <x:v>1.3</x:v>
      </x:c>
      <x:c r="R89" s="107" t="n">
        <x:v>46.3</x:v>
      </x:c>
      <x:c r="S89" s="106" t="n">
        <x:v>234</x:v>
      </x:c>
      <x:c r="T89" s="105" t="str">
        <x:v>GAS (Pierre Gasly) → OCO (Esteban Ocon)</x:v>
      </x:c>
      <x:c r="U89" s="105" t="str">
        <x:v>GAS (Pierre Gasly) → OCO (Esteban Ocon): raised approximate per-asset strategy/risk utility by +8.5; projection +8.5 pts; negative-P5 exposure -22.5; released $1.9M.
No Negative: Highest combined pre-race attrition signal after accounting for field DNF probability (18.5%), weather DNF multiplier (1.10x), and rain risk (LOW).</x:v>
      </x:c>
    </x:row>
    <x:row r="90" ht="52" customHeight="1">
      <x:c r="A90" s="101" t="str">
        <x:v>Balanced</x:v>
      </x:c>
      <x:c r="B90" s="101" t="str">
        <x:v>Maximum tolerance</x:v>
      </x:c>
      <x:c r="C90" s="101" t="n">
        <x:v>11</x:v>
      </x:c>
      <x:c r="D90" s="101" t="str">
        <x:v>British Grand Prix</x:v>
      </x:c>
      <x:c r="E90" s="101" t="str">
        <x:v>genuine</x:v>
      </x:c>
      <x:c r="F90" s="101" t="str"/>
      <x:c r="G90" s="102" t="n">
        <x:v>110.3</x:v>
      </x:c>
      <x:c r="H90" s="102" t="n">
        <x:v>107.8</x:v>
      </x:c>
      <x:c r="I90" s="102" t="n">
        <x:v>112.6</x:v>
      </x:c>
      <x:c r="J90" s="105" t="str">
        <x:v>ANT</x:v>
      </x:c>
      <x:c r="K90" s="105" t="str">
        <x:v>ANT, LIN, COL, BOR, HUL</x:v>
      </x:c>
      <x:c r="L90" s="105" t="str">
        <x:v>Mercedes, Ferrari</x:v>
      </x:c>
      <x:c r="M90" s="106" t="n">
        <x:v>1</x:v>
      </x:c>
      <x:c r="N90" s="106" t="n">
        <x:v>1</x:v>
      </x:c>
      <x:c r="O90" s="106" t="n">
        <x:v>0</x:v>
      </x:c>
      <x:c r="P90" s="107" t="n">
        <x:v>243.9</x:v>
      </x:c>
      <x:c r="Q90" s="107" t="n">
        <x:v>1.5</x:v>
      </x:c>
      <x:c r="R90" s="107" t="n">
        <x:v>51.3</x:v>
      </x:c>
      <x:c r="S90" s="106" t="n">
        <x:v>284</x:v>
      </x:c>
      <x:c r="T90" s="105" t="str">
        <x:v>OCO (Esteban Ocon) → COL (Franco Colapinto)</x:v>
      </x:c>
      <x:c r="U90" s="105" t="str">
        <x:v>OCO (Esteban Ocon) → COL (Franco Colapinto): raised approximate per-asset strategy/risk utility by +2.0; gave up 1.2 projected pts; forecast price change +0.4M; negative-P5 exposure +0.7; released $0.3M.</x:v>
      </x:c>
    </x:row>
    <x:row r="91" ht="52" customHeight="1">
      <x:c r="A91" s="101" t="str">
        <x:v>Balanced</x:v>
      </x:c>
      <x:c r="B91" s="101" t="str">
        <x:v>Maximum tolerance</x:v>
      </x:c>
      <x:c r="C91" s="101" t="n">
        <x:v>12</x:v>
      </x:c>
      <x:c r="D91" s="101" t="str">
        <x:v>Belgian Grand Prix</x:v>
      </x:c>
      <x:c r="E91" s="101" t="str">
        <x:v>genuine</x:v>
      </x:c>
      <x:c r="F91" s="101" t="str">
        <x:v>autopilot</x:v>
      </x:c>
      <x:c r="G91" s="102" t="n">
        <x:v>112.6</x:v>
      </x:c>
      <x:c r="H91" s="102" t="n">
        <x:v>111.3</x:v>
      </x:c>
      <x:c r="I91" s="102" t="n">
        <x:v>115.3</x:v>
      </x:c>
      <x:c r="J91" s="105" t="str">
        <x:v>ANT</x:v>
      </x:c>
      <x:c r="K91" s="105" t="str">
        <x:v>ANT, HAD, LIN, BOR, HUL</x:v>
      </x:c>
      <x:c r="L91" s="105" t="str">
        <x:v>Red Bull, Ferrari</x:v>
      </x:c>
      <x:c r="M91" s="106" t="n">
        <x:v>2</x:v>
      </x:c>
      <x:c r="N91" s="106" t="n">
        <x:v>1</x:v>
      </x:c>
      <x:c r="O91" s="106" t="n">
        <x:v>10</x:v>
      </x:c>
      <x:c r="P91" s="107" t="n">
        <x:v>217.7</x:v>
      </x:c>
      <x:c r="Q91" s="107" t="n">
        <x:v>2.1</x:v>
      </x:c>
      <x:c r="R91" s="107" t="n">
        <x:v>70.1</x:v>
      </x:c>
      <x:c r="S91" s="106" t="n">
        <x:v>271</x:v>
      </x:c>
      <x:c r="T91" s="105" t="str">
        <x:v>COL (Franco Colapinto) → HAD (Isack Hadjar)
Mercedes → Red Bull</x:v>
      </x:c>
      <x:c r="U91" s="105" t="str">
        <x:v>COL (Franco Colapinto) → HAD (Isack Hadjar): raised approximate per-asset strategy/risk utility by +30.6; projection +30.6 pts; spent $2.9M more.
Mercedes → Red Bull: raised approximate per-asset strategy/risk utility by +9.3; projection +9.3 pts; released $1.7M.
Autopilot: Greatest remaining forecast uncertainty between captain candidates.</x:v>
      </x:c>
    </x:row>
    <x:row r="92" ht="52" customHeight="1">
      <x:c r="A92" s="101" t="str">
        <x:v>Balanced</x:v>
      </x:c>
      <x:c r="B92" s="101" t="str">
        <x:v>Maximum tolerance</x:v>
      </x:c>
      <x:c r="C92" s="101" t="n">
        <x:v>13</x:v>
      </x:c>
      <x:c r="D92" s="101" t="str">
        <x:v>Hungarian Grand Prix</x:v>
      </x:c>
      <x:c r="E92" s="101" t="str">
        <x:v>genuine</x:v>
      </x:c>
      <x:c r="F92" s="101" t="str"/>
      <x:c r="G92" s="102" t="n">
        <x:v>115.3</x:v>
      </x:c>
      <x:c r="H92" s="102" t="n">
        <x:v>113.4</x:v>
      </x:c>
      <x:c r="I92" s="102" t="n">
        <x:v>117.7</x:v>
      </x:c>
      <x:c r="J92" s="105" t="str">
        <x:v>HAM</x:v>
      </x:c>
      <x:c r="K92" s="105" t="str">
        <x:v>HAM, HAD, LIN, BOR, HUL</x:v>
      </x:c>
      <x:c r="L92" s="105" t="str">
        <x:v>McLaren, Ferrari</x:v>
      </x:c>
      <x:c r="M92" s="106" t="n">
        <x:v>2</x:v>
      </x:c>
      <x:c r="N92" s="106" t="n">
        <x:v>1</x:v>
      </x:c>
      <x:c r="O92" s="106" t="n">
        <x:v>10</x:v>
      </x:c>
      <x:c r="P92" s="107" t="n">
        <x:v>182.4</x:v>
      </x:c>
      <x:c r="Q92" s="107" t="n">
        <x:v>1.7</x:v>
      </x:c>
      <x:c r="R92" s="107" t="n">
        <x:v>68.3</x:v>
      </x:c>
      <x:c r="S92" s="106" t="n">
        <x:v>187</x:v>
      </x:c>
      <x:c r="T92" s="105" t="str">
        <x:v>ANT (Kimi Antonelli) → HAM (Lewis Hamilton)
Red Bull → McLaren</x:v>
      </x:c>
      <x:c r="U92" s="105" t="str">
        <x:v>ANT (Kimi Antonelli) → HAM (Lewis Hamilton): raised approximate per-asset strategy/risk utility by +7.8; projection +7.8 pts; negative-P5 exposure -2.4; released $0.7M; became the projected 2x captain.
Red Bull → McLaren: raised approximate per-asset strategy/risk utility by +20.7; projection +20.7 pts; spent $0.1M more.</x:v>
      </x:c>
    </x:row>
    <x:row r="93" ht="52" customHeight="1">
      <x:c r="A93" s="101" t="str">
        <x:v>Budget Builder</x:v>
      </x:c>
      <x:c r="B93" s="101" t="str">
        <x:v>Total avoidance</x:v>
      </x:c>
      <x:c r="C93" s="101" t="n">
        <x:v>1</x:v>
      </x:c>
      <x:c r="D93" s="101" t="str">
        <x:v>Australian Grand Prix</x:v>
      </x:c>
      <x:c r="E93" s="101" t="str">
        <x:v>reconstructed</x:v>
      </x:c>
      <x:c r="F93" s="101" t="str"/>
      <x:c r="G93" s="102" t="n">
        <x:v>100</x:v>
      </x:c>
      <x:c r="H93" s="102" t="n">
        <x:v>95.2</x:v>
      </x:c>
      <x:c r="I93" s="102" t="n">
        <x:v>103.7</x:v>
      </x:c>
      <x:c r="J93" s="105" t="str">
        <x:v>RUS</x:v>
      </x:c>
      <x:c r="K93" s="105" t="str">
        <x:v>RUS, LEC, ALB, OCO, BOR</x:v>
      </x:c>
      <x:c r="L93" s="105" t="str">
        <x:v>Williams, Haas</x:v>
      </x:c>
      <x:c r="M93" s="106" t="n">
        <x:v>0</x:v>
      </x:c>
      <x:c r="N93" s="106" t="n">
        <x:v>0</x:v>
      </x:c>
      <x:c r="O93" s="106" t="n">
        <x:v>0</x:v>
      </x:c>
      <x:c r="P93" s="107" t="n">
        <x:v>188.7</x:v>
      </x:c>
      <x:c r="Q93" s="107" t="n">
        <x:v>2.6</x:v>
      </x:c>
      <x:c r="R93" s="107" t="n">
        <x:v>11</x:v>
      </x:c>
      <x:c r="S93" s="106" t="n">
        <x:v>191</x:v>
      </x:c>
      <x:c r="T93" s="105" t="str">
        <x:v>Initial selection</x:v>
      </x:c>
      <x:c r="U93" s="105" t="str">
        <x:v>Initial team selected by the manager philosophy and risk profile under the $100.0M cap.</x:v>
      </x:c>
    </x:row>
    <x:row r="94" ht="52" customHeight="1">
      <x:c r="A94" s="101" t="str">
        <x:v>Budget Builder</x:v>
      </x:c>
      <x:c r="B94" s="101" t="str">
        <x:v>Total avoidance</x:v>
      </x:c>
      <x:c r="C94" s="101" t="n">
        <x:v>2</x:v>
      </x:c>
      <x:c r="D94" s="101" t="str">
        <x:v>Chinese Grand Prix</x:v>
      </x:c>
      <x:c r="E94" s="101" t="str">
        <x:v>reconstructed</x:v>
      </x:c>
      <x:c r="F94" s="101" t="str"/>
      <x:c r="G94" s="102" t="n">
        <x:v>103.7</x:v>
      </x:c>
      <x:c r="H94" s="102" t="n">
        <x:v>103.4</x:v>
      </x:c>
      <x:c r="I94" s="102" t="n">
        <x:v>103.7</x:v>
      </x:c>
      <x:c r="J94" s="105" t="str">
        <x:v>ANT</x:v>
      </x:c>
      <x:c r="K94" s="105" t="str">
        <x:v>ANT, LEC, HAM, ALB, OCO</x:v>
      </x:c>
      <x:c r="L94" s="105" t="str">
        <x:v>Haas, Audi</x:v>
      </x:c>
      <x:c r="M94" s="106" t="n">
        <x:v>3</x:v>
      </x:c>
      <x:c r="N94" s="106" t="n">
        <x:v>2</x:v>
      </x:c>
      <x:c r="O94" s="106" t="n">
        <x:v>10</x:v>
      </x:c>
      <x:c r="P94" s="107" t="n">
        <x:v>263.8</x:v>
      </x:c>
      <x:c r="Q94" s="107" t="n">
        <x:v>2.7</x:v>
      </x:c>
      <x:c r="R94" s="107" t="n">
        <x:v>12.5</x:v>
      </x:c>
      <x:c r="S94" s="106" t="n">
        <x:v>303</x:v>
      </x:c>
      <x:c r="T94" s="105" t="str">
        <x:v>BOR (Gabriel Bortoleto) → HAM (Lewis Hamilton)
RUS (George Russell) → ANT (Kimi Antonelli)
Williams → Audi</x:v>
      </x:c>
      <x:c r="U94" s="105" t="str">
        <x:v>BOR (Gabriel Bortoleto) → HAM (Lewis Hamilton): cut negative-P5 exposure by 9.0, the profile's first priority; projection +12.9 pts; forecast price change -0.5M; negative-P5 exposure -9.0; spent $16.5M more.
RUS (George Russell) → ANT (Kimi Antonelli): preserved the minimum feasible negative-P5 exposure; projection +2.7 pts; released $4.2M; became the projected 2x captain.
Williams → Audi: accepted 5.5 more negative-P5 exposure only as part of the safest feasible full lineup; gave up 3.9 projected pts; negative-P5 exposure +5.5; released $7.8M.</x:v>
      </x:c>
    </x:row>
    <x:row r="95" ht="52" customHeight="1">
      <x:c r="A95" s="101" t="str">
        <x:v>Budget Builder</x:v>
      </x:c>
      <x:c r="B95" s="101" t="str">
        <x:v>Total avoidance</x:v>
      </x:c>
      <x:c r="C95" s="101" t="n">
        <x:v>3</x:v>
      </x:c>
      <x:c r="D95" s="101" t="str">
        <x:v>Japanese Grand Prix</x:v>
      </x:c>
      <x:c r="E95" s="101" t="str">
        <x:v>reconstructed</x:v>
      </x:c>
      <x:c r="F95" s="101" t="str"/>
      <x:c r="G95" s="102" t="n">
        <x:v>103.7</x:v>
      </x:c>
      <x:c r="H95" s="102" t="n">
        <x:v>102.1</x:v>
      </x:c>
      <x:c r="I95" s="102" t="n">
        <x:v>106.6</x:v>
      </x:c>
      <x:c r="J95" s="105" t="str">
        <x:v>ANT</x:v>
      </x:c>
      <x:c r="K95" s="105" t="str">
        <x:v>ANT, LEC, HAM, OCO, LIN</x:v>
      </x:c>
      <x:c r="L95" s="105" t="str">
        <x:v>Haas, Racing Bulls</x:v>
      </x:c>
      <x:c r="M95" s="106" t="n">
        <x:v>2</x:v>
      </x:c>
      <x:c r="N95" s="106" t="n">
        <x:v>1</x:v>
      </x:c>
      <x:c r="O95" s="106" t="n">
        <x:v>10</x:v>
      </x:c>
      <x:c r="P95" s="107" t="n">
        <x:v>200.1</x:v>
      </x:c>
      <x:c r="Q95" s="107" t="n">
        <x:v>3.3</x:v>
      </x:c>
      <x:c r="R95" s="107" t="n">
        <x:v>12</x:v>
      </x:c>
      <x:c r="S95" s="106" t="n">
        <x:v>164</x:v>
      </x:c>
      <x:c r="T95" s="105" t="str">
        <x:v>ALB (Alex Albon) → LIN (Arvid Lindblad)
Audi → Racing Bulls</x:v>
      </x:c>
      <x:c r="U95" s="105" t="str">
        <x:v>ALB (Alex Albon) → LIN (Arvid Lindblad): cut negative-P5 exposure by 4.0, the profile's first priority; projection +7.8 pts; forecast price change +1.2M; negative-P5 exposure -4.0; released $3.4M.
Audi → Racing Bulls: cut negative-P5 exposure by 5.0, the profile's first priority; projection +6.0 pts; forecast price change +0.4M; negative-P5 exposure -5.0; spent $2.1M more.</x:v>
      </x:c>
    </x:row>
    <x:row r="96" ht="52" customHeight="1">
      <x:c r="A96" s="101" t="str">
        <x:v>Budget Builder</x:v>
      </x:c>
      <x:c r="B96" s="101" t="str">
        <x:v>Total avoidance</x:v>
      </x:c>
      <x:c r="C96" s="101" t="n">
        <x:v>6</x:v>
      </x:c>
      <x:c r="D96" s="101" t="str">
        <x:v>Miami Grand Prix</x:v>
      </x:c>
      <x:c r="E96" s="101" t="str">
        <x:v>genuine</x:v>
      </x:c>
      <x:c r="F96" s="101" t="str"/>
      <x:c r="G96" s="102" t="n">
        <x:v>106.6</x:v>
      </x:c>
      <x:c r="H96" s="102" t="n">
        <x:v>104.3</x:v>
      </x:c>
      <x:c r="I96" s="102" t="n">
        <x:v>108.7</x:v>
      </x:c>
      <x:c r="J96" s="105" t="str">
        <x:v>ANT</x:v>
      </x:c>
      <x:c r="K96" s="105" t="str">
        <x:v>ANT, LEC, OCO, LIN, LAW</x:v>
      </x:c>
      <x:c r="L96" s="105" t="str">
        <x:v>Ferrari, Racing Bulls</x:v>
      </x:c>
      <x:c r="M96" s="106" t="n">
        <x:v>2</x:v>
      </x:c>
      <x:c r="N96" s="106" t="n">
        <x:v>1</x:v>
      </x:c>
      <x:c r="O96" s="106" t="n">
        <x:v>10</x:v>
      </x:c>
      <x:c r="P96" s="107" t="n">
        <x:v>378.5</x:v>
      </x:c>
      <x:c r="Q96" s="107" t="n">
        <x:v>3.3</x:v>
      </x:c>
      <x:c r="R96" s="107" t="n">
        <x:v>0</x:v>
      </x:c>
      <x:c r="S96" s="106" t="n">
        <x:v>158</x:v>
      </x:c>
      <x:c r="T96" s="105" t="str">
        <x:v>HAM (Lewis Hamilton) → LAW (Liam Lawson)
Haas → Ferrari</x:v>
      </x:c>
      <x:c r="U96" s="105" t="str">
        <x:v>HAM (Lewis Hamilton) → LAW (Liam Lawson): preserved the minimum feasible negative-P5 exposure; gave up 7.3 projected pts; forecast price change +0.3M; released $15.7M.
Haas → Ferrari: preserved the minimum feasible negative-P5 exposure; projection +55.3 pts; forecast price change -0.3M; spent $15.0M more.</x:v>
      </x:c>
    </x:row>
    <x:row r="97" ht="52" customHeight="1">
      <x:c r="A97" s="101" t="str">
        <x:v>Budget Builder</x:v>
      </x:c>
      <x:c r="B97" s="101" t="str">
        <x:v>Total avoidance</x:v>
      </x:c>
      <x:c r="C97" s="101" t="n">
        <x:v>7</x:v>
      </x:c>
      <x:c r="D97" s="101" t="str">
        <x:v>Canadian Grand Prix</x:v>
      </x:c>
      <x:c r="E97" s="101" t="str">
        <x:v>genuine</x:v>
      </x:c>
      <x:c r="F97" s="101" t="str">
        <x:v>wild card</x:v>
      </x:c>
      <x:c r="G97" s="102" t="n">
        <x:v>108.7</x:v>
      </x:c>
      <x:c r="H97" s="102" t="n">
        <x:v>104.8</x:v>
      </x:c>
      <x:c r="I97" s="102" t="n">
        <x:v>110.9</x:v>
      </x:c>
      <x:c r="J97" s="105" t="str">
        <x:v>ANT</x:v>
      </x:c>
      <x:c r="K97" s="105" t="str">
        <x:v>NOR, ANT, SAI, OCO, COL</x:v>
      </x:c>
      <x:c r="L97" s="105" t="str">
        <x:v>Williams, Racing Bulls</x:v>
      </x:c>
      <x:c r="M97" s="106" t="n">
        <x:v>4</x:v>
      </x:c>
      <x:c r="N97" s="106" t="n">
        <x:v>1</x:v>
      </x:c>
      <x:c r="O97" s="106" t="n">
        <x:v>0</x:v>
      </x:c>
      <x:c r="P97" s="107" t="n">
        <x:v>261.4</x:v>
      </x:c>
      <x:c r="Q97" s="107" t="n">
        <x:v>3.2</x:v>
      </x:c>
      <x:c r="R97" s="107" t="n">
        <x:v>14</x:v>
      </x:c>
      <x:c r="S97" s="106" t="n">
        <x:v>202</x:v>
      </x:c>
      <x:c r="T97" s="105" t="str">
        <x:v>LAW (Liam Lawson) → COL (Franco Colapinto)
LEC (Charles Leclerc) → NOR (Lando Norris)
LIN (Arvid Lindblad) → SAI (Carlos Sainz)
Ferrari → Williams</x:v>
      </x:c>
      <x:c r="U97" s="105" t="str">
        <x:v>LAW (Liam Lawson) → COL (Franco Colapinto): Wild Card made the permanent rebuild free; Forecasted competitive-order change called for 4 lineup changes and a 49.6-utility improvement; this is the upgrade/order-shift proxy.; cut negative-P5 exposure by 10.0, the profile's first priority; projection +0.8 pts; forecast price change +1.2M; negative-P5 exposure -10.0; spent $0.1M more.
LEC (Charles Leclerc) → NOR (Lando Norris): Wild Card made the permanent rebuild free; Forecasted competitive-order change called for 4 lineup changes and a 49.6-utility improvement; this is the upgrade/order-shift proxy.; preserved the minimum feasible negative-P5 exposure; projection +10.8 pts; spent $2.4M more.
LIN (Arvid Lindblad) → SAI (Carlos Sainz): Wild Card made the permanent rebuild free; Forecasted competitive-order change called for 4 lineup changes and a 49.6-utility improvement; this is the upgrade/order-shift proxy.; cut negative-P5 exposure by 4.0, the profile's first priority; projection +4.1 pts; forecast price change +0.8M; negative-P5 exposure -4.0; spent $6.0M more.
Ferrari → Williams: Wild Card made the permanent rebuild free; Forecasted competitive-order change called for 4 lineup changes and a 49.6-utility improvement; this is the upgrade/order-shift proxy.; preserved the minimum feasible negative-P5 exposure; gave up 46.0 projected pts; forecast price change +0.3M; released $10.1M.</x:v>
      </x:c>
    </x:row>
    <x:row r="98" ht="52" customHeight="1">
      <x:c r="A98" s="101" t="str">
        <x:v>Budget Builder</x:v>
      </x:c>
      <x:c r="B98" s="101" t="str">
        <x:v>Total avoidance</x:v>
      </x:c>
      <x:c r="C98" s="101" t="n">
        <x:v>8</x:v>
      </x:c>
      <x:c r="D98" s="101" t="str">
        <x:v>Monaco Grand Prix</x:v>
      </x:c>
      <x:c r="E98" s="101" t="str">
        <x:v>genuine</x:v>
      </x:c>
      <x:c r="F98" s="101" t="str">
        <x:v>limitless</x:v>
      </x:c>
      <x:c r="G98" s="102" t="n">
        <x:v>110.9</x:v>
      </x:c>
      <x:c r="H98" s="102" t="n">
        <x:v>158.4</x:v>
      </x:c>
      <x:c r="I98" s="102" t="n">
        <x:v>112.7</x:v>
      </x:c>
      <x:c r="J98" s="105" t="str">
        <x:v>LEC</x:v>
      </x:c>
      <x:c r="K98" s="105" t="str">
        <x:v>PIA, ANT, LEC, HAM, BOR</x:v>
      </x:c>
      <x:c r="L98" s="105" t="str">
        <x:v>Mercedes, Ferrari</x:v>
      </x:c>
      <x:c r="M98" s="106" t="n">
        <x:v>0</x:v>
      </x:c>
      <x:c r="N98" s="106" t="n">
        <x:v>2</x:v>
      </x:c>
      <x:c r="O98" s="106" t="n">
        <x:v>0</x:v>
      </x:c>
      <x:c r="P98" s="107" t="n">
        <x:v>297.3</x:v>
      </x:c>
      <x:c r="Q98" s="107" t="n">
        <x:v>1.6</x:v>
      </x:c>
      <x:c r="R98" s="107" t="n">
        <x:v>1</x:v>
      </x:c>
      <x:c r="S98" s="106" t="n">
        <x:v>176</x:v>
      </x:c>
      <x:c r="T98" s="105" t="str">
        <x:v>Temporary Limitless lineup; owned team reverted</x:v>
      </x:c>
      <x:c r="U98" s="105" t="str">
        <x:v>Limitless temporarily added BOR (Gabriel Bortoleto), HAM (Lewis Hamilton), LEC (Charles Leclerc), PIA (Oscar Piastri), Ferrari, Mercedes. Most qualifying-dependent completed circuit: 10/10 overtaking difficulty, where an unrestricted premium lineup should create the largest advantage over budget-constrained teams. The owned team reverted after the round.</x:v>
      </x:c>
    </x:row>
    <x:row r="99" ht="52" customHeight="1">
      <x:c r="A99" s="101" t="str">
        <x:v>Budget Builder</x:v>
      </x:c>
      <x:c r="B99" s="101" t="str">
        <x:v>Total avoidance</x:v>
      </x:c>
      <x:c r="C99" s="101" t="n">
        <x:v>9</x:v>
      </x:c>
      <x:c r="D99" s="101" t="str">
        <x:v>Spanish Grand Prix</x:v>
      </x:c>
      <x:c r="E99" s="101" t="str">
        <x:v>genuine</x:v>
      </x:c>
      <x:c r="F99" s="101" t="str"/>
      <x:c r="G99" s="102" t="n">
        <x:v>112.7</x:v>
      </x:c>
      <x:c r="H99" s="102" t="n">
        <x:v>110.4</x:v>
      </x:c>
      <x:c r="I99" s="102" t="n">
        <x:v>113.6</x:v>
      </x:c>
      <x:c r="J99" s="105" t="str">
        <x:v>ANT</x:v>
      </x:c>
      <x:c r="K99" s="105" t="str">
        <x:v>PIA, ANT, HAM, OCO, LIN</x:v>
      </x:c>
      <x:c r="L99" s="105" t="str">
        <x:v>Haas, Racing Bulls</x:v>
      </x:c>
      <x:c r="M99" s="106" t="n">
        <x:v>4</x:v>
      </x:c>
      <x:c r="N99" s="106" t="n">
        <x:v>3</x:v>
      </x:c>
      <x:c r="O99" s="106" t="n">
        <x:v>10</x:v>
      </x:c>
      <x:c r="P99" s="107" t="n">
        <x:v>169.6</x:v>
      </x:c>
      <x:c r="Q99" s="107" t="n">
        <x:v>0.9</x:v>
      </x:c>
      <x:c r="R99" s="107" t="n">
        <x:v>3</x:v>
      </x:c>
      <x:c r="S99" s="106" t="n">
        <x:v>117</x:v>
      </x:c>
      <x:c r="T99" s="105" t="str">
        <x:v>COL (Franco Colapinto) → LIN (Arvid Lindblad)
NOR (Lando Norris) → PIA (Oscar Piastri)
SAI (Carlos Sainz) → HAM (Lewis Hamilton)
Williams → Haas</x:v>
      </x:c>
      <x:c r="U99" s="105" t="str">
        <x:v>COL (Franco Colapinto) → LIN (Arvid Lindblad): cut negative-P5 exposure by 1.0, the profile's first priority; projection +1.1 pts; forecast price change -0.8M; negative-P5 exposure -1.0; released $3.6M.
NOR (Lando Norris) → PIA (Oscar Piastri): cut negative-P5 exposure by 6.0, the profile's first priority; projection +1.1 pts; forecast price change +0.2M; negative-P5 exposure -6.0; released $1.1M.
SAI (Carlos Sainz) → HAM (Lewis Hamilton): cut negative-P5 exposure by 12.0, the profile's first priority; projection +21.4 pts; forecast price change +0.9M; negative-P5 exposure -12.0; spent $11.3M more.
Williams → Haas: cut negative-P5 exposure by 5.5, the profile's first priority; projection +4.6 pts; forecast price change +0.4M; negative-P5 exposure -5.5; released $5.0M.</x:v>
      </x:c>
    </x:row>
    <x:row r="100" ht="52" customHeight="1">
      <x:c r="A100" s="101" t="str">
        <x:v>Budget Builder</x:v>
      </x:c>
      <x:c r="B100" s="101" t="str">
        <x:v>Total avoidance</x:v>
      </x:c>
      <x:c r="C100" s="101" t="n">
        <x:v>10</x:v>
      </x:c>
      <x:c r="D100" s="101" t="str">
        <x:v>Austrian Grand Prix</x:v>
      </x:c>
      <x:c r="E100" s="101" t="str">
        <x:v>genuine</x:v>
      </x:c>
      <x:c r="F100" s="101" t="str">
        <x:v>no negative</x:v>
      </x:c>
      <x:c r="G100" s="102" t="n">
        <x:v>113.6</x:v>
      </x:c>
      <x:c r="H100" s="102" t="n">
        <x:v>111</x:v>
      </x:c>
      <x:c r="I100" s="102" t="n">
        <x:v>114.9</x:v>
      </x:c>
      <x:c r="J100" s="105" t="str">
        <x:v>HAM</x:v>
      </x:c>
      <x:c r="K100" s="105" t="str">
        <x:v>PIA, HAM, OCO, LIN, COL</x:v>
      </x:c>
      <x:c r="L100" s="105" t="str">
        <x:v>Ferrari, Racing Bulls</x:v>
      </x:c>
      <x:c r="M100" s="106" t="n">
        <x:v>2</x:v>
      </x:c>
      <x:c r="N100" s="106" t="n">
        <x:v>1</x:v>
      </x:c>
      <x:c r="O100" s="106" t="n">
        <x:v>10</x:v>
      </x:c>
      <x:c r="P100" s="107" t="n">
        <x:v>168.4</x:v>
      </x:c>
      <x:c r="Q100" s="107" t="n">
        <x:v>1.3</x:v>
      </x:c>
      <x:c r="R100" s="107" t="n">
        <x:v>9.1</x:v>
      </x:c>
      <x:c r="S100" s="106" t="n">
        <x:v>184</x:v>
      </x:c>
      <x:c r="T100" s="105" t="str">
        <x:v>ANT (Kimi Antonelli) → COL (Franco Colapinto)
Haas → Ferrari</x:v>
      </x:c>
      <x:c r="U100" s="105" t="str">
        <x:v>ANT (Kimi Antonelli) → COL (Franco Colapinto): cut negative-P5 exposure by 11.3, the profile's first priority; gave up 22.1 projected pts; forecast price change -0.7M; negative-P5 exposure -11.3; released $15.3M.
Haas → Ferrari: cut negative-P5 exposure by 13.1, the profile's first priority; projection +41.1 pts; forecast price change +0.5M; negative-P5 exposure -13.1; spent $15.0M more.
No Negative: Highest combined pre-race attrition signal after accounting for field DNF probability (18.5%), weather DNF multiplier (1.10x), and rain risk (LOW).</x:v>
      </x:c>
    </x:row>
    <x:row r="101" ht="52" customHeight="1">
      <x:c r="A101" s="101" t="str">
        <x:v>Budget Builder</x:v>
      </x:c>
      <x:c r="B101" s="101" t="str">
        <x:v>Total avoidance</x:v>
      </x:c>
      <x:c r="C101" s="101" t="n">
        <x:v>11</x:v>
      </x:c>
      <x:c r="D101" s="101" t="str">
        <x:v>British Grand Prix</x:v>
      </x:c>
      <x:c r="E101" s="101" t="str">
        <x:v>genuine</x:v>
      </x:c>
      <x:c r="F101" s="101" t="str">
        <x:v>autopilot</x:v>
      </x:c>
      <x:c r="G101" s="102" t="n">
        <x:v>114.9</x:v>
      </x:c>
      <x:c r="H101" s="102" t="n">
        <x:v>112.8</x:v>
      </x:c>
      <x:c r="I101" s="102" t="n">
        <x:v>117.4</x:v>
      </x:c>
      <x:c r="J101" s="105" t="str">
        <x:v>HAM</x:v>
      </x:c>
      <x:c r="K101" s="105" t="str">
        <x:v>ANT, HAM, OCO, LIN, COL</x:v>
      </x:c>
      <x:c r="L101" s="105" t="str">
        <x:v>Ferrari, Racing Bulls</x:v>
      </x:c>
      <x:c r="M101" s="106" t="n">
        <x:v>1</x:v>
      </x:c>
      <x:c r="N101" s="106" t="n">
        <x:v>1</x:v>
      </x:c>
      <x:c r="O101" s="106" t="n">
        <x:v>0</x:v>
      </x:c>
      <x:c r="P101" s="107" t="n">
        <x:v>228.8</x:v>
      </x:c>
      <x:c r="Q101" s="107" t="n">
        <x:v>1.7</x:v>
      </x:c>
      <x:c r="R101" s="107" t="n">
        <x:v>34.1</x:v>
      </x:c>
      <x:c r="S101" s="106" t="n">
        <x:v>300</x:v>
      </x:c>
      <x:c r="T101" s="105" t="str">
        <x:v>PIA (Oscar Piastri) → ANT (Kimi Antonelli)</x:v>
      </x:c>
      <x:c r="U101" s="105" t="str">
        <x:v>PIA (Oscar Piastri) → ANT (Kimi Antonelli): cut negative-P5 exposure by 6.7, the profile's first priority; projection +12.5 pts; negative-P5 exposure -6.7; spent $0.5M more.
Autopilot: Greatest remaining forecast uncertainty between captain candidates.</x:v>
      </x:c>
    </x:row>
    <x:row r="102" ht="52" customHeight="1">
      <x:c r="A102" s="101" t="str">
        <x:v>Budget Builder</x:v>
      </x:c>
      <x:c r="B102" s="101" t="str">
        <x:v>Total avoidance</x:v>
      </x:c>
      <x:c r="C102" s="101" t="n">
        <x:v>12</x:v>
      </x:c>
      <x:c r="D102" s="101" t="str">
        <x:v>Belgian Grand Prix</x:v>
      </x:c>
      <x:c r="E102" s="101" t="str">
        <x:v>genuine</x:v>
      </x:c>
      <x:c r="F102" s="101" t="str"/>
      <x:c r="G102" s="102" t="n">
        <x:v>117.4</x:v>
      </x:c>
      <x:c r="H102" s="102" t="n">
        <x:v>114.5</x:v>
      </x:c>
      <x:c r="I102" s="102" t="n">
        <x:v>120.5</x:v>
      </x:c>
      <x:c r="J102" s="105" t="str">
        <x:v>HAD</x:v>
      </x:c>
      <x:c r="K102" s="105" t="str">
        <x:v>ANT, HAM, HAD, LIN, BOR</x:v>
      </x:c>
      <x:c r="L102" s="105" t="str">
        <x:v>Ferrari, Racing Bulls</x:v>
      </x:c>
      <x:c r="M102" s="106" t="n">
        <x:v>2</x:v>
      </x:c>
      <x:c r="N102" s="106" t="n">
        <x:v>1</x:v>
      </x:c>
      <x:c r="O102" s="106" t="n">
        <x:v>10</x:v>
      </x:c>
      <x:c r="P102" s="107" t="n">
        <x:v>193.5</x:v>
      </x:c>
      <x:c r="Q102" s="107" t="n">
        <x:v>2.5</x:v>
      </x:c>
      <x:c r="R102" s="107" t="n">
        <x:v>66</x:v>
      </x:c>
      <x:c r="S102" s="106" t="n">
        <x:v>225</x:v>
      </x:c>
      <x:c r="T102" s="105" t="str">
        <x:v>COL (Franco Colapinto) → HAD (Isack Hadjar)
OCO (Esteban Ocon) → BOR (Gabriel Bortoleto)</x:v>
      </x:c>
      <x:c r="U102" s="105" t="str">
        <x:v>COL (Franco Colapinto) → HAD (Isack Hadjar): preserved the minimum feasible negative-P5 exposure; projection +30.6 pts; spent $2.9M more; became the projected 2x captain.
OCO (Esteban Ocon) → BOR (Gabriel Bortoleto): cut negative-P5 exposure by 0.4, the profile's first priority; gave up 1.3 projected pts; negative-P5 exposure -0.4; released $3.7M.</x:v>
      </x:c>
    </x:row>
    <x:row r="103" ht="52" customHeight="1">
      <x:c r="A103" s="101" t="str">
        <x:v>Budget Builder</x:v>
      </x:c>
      <x:c r="B103" s="101" t="str">
        <x:v>Total avoidance</x:v>
      </x:c>
      <x:c r="C103" s="101" t="n">
        <x:v>13</x:v>
      </x:c>
      <x:c r="D103" s="101" t="str">
        <x:v>Hungarian Grand Prix</x:v>
      </x:c>
      <x:c r="E103" s="101" t="str">
        <x:v>genuine</x:v>
      </x:c>
      <x:c r="F103" s="101" t="str"/>
      <x:c r="G103" s="102" t="n">
        <x:v>120.5</x:v>
      </x:c>
      <x:c r="H103" s="102" t="n">
        <x:v>117.6</x:v>
      </x:c>
      <x:c r="I103" s="102" t="n">
        <x:v>123.3</x:v>
      </x:c>
      <x:c r="J103" s="105" t="str">
        <x:v>HAM</x:v>
      </x:c>
      <x:c r="K103" s="105" t="str">
        <x:v>ANT, HAM, HAD, LIN, BOR</x:v>
      </x:c>
      <x:c r="L103" s="105" t="str">
        <x:v>Ferrari, Racing Bulls</x:v>
      </x:c>
      <x:c r="M103" s="106" t="n">
        <x:v>0</x:v>
      </x:c>
      <x:c r="N103" s="106" t="n">
        <x:v>1</x:v>
      </x:c>
      <x:c r="O103" s="106" t="n">
        <x:v>0</x:v>
      </x:c>
      <x:c r="P103" s="107" t="n">
        <x:v>167.4</x:v>
      </x:c>
      <x:c r="Q103" s="107" t="n">
        <x:v>2.1</x:v>
      </x:c>
      <x:c r="R103" s="107" t="n">
        <x:v>64.6</x:v>
      </x:c>
      <x:c r="S103" s="106" t="n">
        <x:v>225</x:v>
      </x:c>
      <x:c r="T103" s="105" t="str">
        <x:v>Hold</x:v>
      </x:c>
      <x:c r="U103" s="105" t="str">
        <x:v>Held the existing team because no permitted transfer improved the manager's lineup-level objective enough after transfer penalties.</x:v>
      </x:c>
    </x:row>
    <x:row r="104" ht="52" customHeight="1">
      <x:c r="A104" s="101" t="str">
        <x:v>Budget Builder</x:v>
      </x:c>
      <x:c r="B104" s="101" t="str">
        <x:v>Minimal risk accepted</x:v>
      </x:c>
      <x:c r="C104" s="101" t="n">
        <x:v>1</x:v>
      </x:c>
      <x:c r="D104" s="101" t="str">
        <x:v>Australian Grand Prix</x:v>
      </x:c>
      <x:c r="E104" s="101" t="str">
        <x:v>reconstructed</x:v>
      </x:c>
      <x:c r="F104" s="101" t="str"/>
      <x:c r="G104" s="102" t="n">
        <x:v>100</x:v>
      </x:c>
      <x:c r="H104" s="102" t="n">
        <x:v>96.4</x:v>
      </x:c>
      <x:c r="I104" s="102" t="n">
        <x:v>104</x:v>
      </x:c>
      <x:c r="J104" s="105" t="str">
        <x:v>RUS</x:v>
      </x:c>
      <x:c r="K104" s="105" t="str">
        <x:v>RUS, OCO, LIN, COL, BOR</x:v>
      </x:c>
      <x:c r="L104" s="105" t="str">
        <x:v>Mercedes, Williams</x:v>
      </x:c>
      <x:c r="M104" s="106" t="n">
        <x:v>0</x:v>
      </x:c>
      <x:c r="N104" s="106" t="n">
        <x:v>0</x:v>
      </x:c>
      <x:c r="O104" s="106" t="n">
        <x:v>0</x:v>
      </x:c>
      <x:c r="P104" s="107" t="n">
        <x:v>222.6</x:v>
      </x:c>
      <x:c r="Q104" s="107" t="n">
        <x:v>2.8</x:v>
      </x:c>
      <x:c r="R104" s="107" t="n">
        <x:v>14.5</x:v>
      </x:c>
      <x:c r="S104" s="106" t="n">
        <x:v>237</x:v>
      </x:c>
      <x:c r="T104" s="105" t="str">
        <x:v>Initial selection</x:v>
      </x:c>
      <x:c r="U104" s="105" t="str">
        <x:v>Initial team selected by the manager philosophy and risk profile under the $100.0M cap.</x:v>
      </x:c>
    </x:row>
    <x:row r="105" ht="52" customHeight="1">
      <x:c r="A105" s="101" t="str">
        <x:v>Budget Builder</x:v>
      </x:c>
      <x:c r="B105" s="101" t="str">
        <x:v>Minimal risk accepted</x:v>
      </x:c>
      <x:c r="C105" s="101" t="n">
        <x:v>2</x:v>
      </x:c>
      <x:c r="D105" s="101" t="str">
        <x:v>Chinese Grand Prix</x:v>
      </x:c>
      <x:c r="E105" s="101" t="str">
        <x:v>reconstructed</x:v>
      </x:c>
      <x:c r="F105" s="101" t="str"/>
      <x:c r="G105" s="102" t="n">
        <x:v>104</x:v>
      </x:c>
      <x:c r="H105" s="102" t="n">
        <x:v>99.6</x:v>
      </x:c>
      <x:c r="I105" s="102" t="n">
        <x:v>104</x:v>
      </x:c>
      <x:c r="J105" s="105" t="str">
        <x:v>ANT</x:v>
      </x:c>
      <x:c r="K105" s="105" t="str">
        <x:v>ANT, ALB, OCO, COL, BOR</x:v>
      </x:c>
      <x:c r="L105" s="105" t="str">
        <x:v>Mercedes, Williams</x:v>
      </x:c>
      <x:c r="M105" s="106" t="n">
        <x:v>2</x:v>
      </x:c>
      <x:c r="N105" s="106" t="n">
        <x:v>2</x:v>
      </x:c>
      <x:c r="O105" s="106" t="n">
        <x:v>0</x:v>
      </x:c>
      <x:c r="P105" s="107" t="n">
        <x:v>318.1</x:v>
      </x:c>
      <x:c r="Q105" s="107" t="n">
        <x:v>3.2</x:v>
      </x:c>
      <x:c r="R105" s="107" t="n">
        <x:v>22</x:v>
      </x:c>
      <x:c r="S105" s="106" t="n">
        <x:v>294</x:v>
      </x:c>
      <x:c r="T105" s="105" t="str">
        <x:v>LIN (Arvid Lindblad) → ALB (Alex Albon)
RUS (George Russell) → ANT (Kimi Antonelli)</x:v>
      </x:c>
      <x:c r="U105" s="105" t="str">
        <x:v>LIN (Arvid Lindblad) → ALB (Alex Albon): raised approximate per-asset strategy/risk utility by +5.9; projection +5.9 pts; forecast price change -0.4M; negative-P5 exposure -4.0; spent $3.4M more.
RUS (George Russell) → ANT (Kimi Antonelli): raised approximate per-asset strategy/risk utility by +2.7; projection +2.7 pts; released $4.2M; became the projected 2x captain.</x:v>
      </x:c>
    </x:row>
    <x:row r="106" ht="52" customHeight="1">
      <x:c r="A106" s="101" t="str">
        <x:v>Budget Builder</x:v>
      </x:c>
      <x:c r="B106" s="101" t="str">
        <x:v>Minimal risk accepted</x:v>
      </x:c>
      <x:c r="C106" s="101" t="n">
        <x:v>3</x:v>
      </x:c>
      <x:c r="D106" s="101" t="str">
        <x:v>Japanese Grand Prix</x:v>
      </x:c>
      <x:c r="E106" s="101" t="str">
        <x:v>reconstructed</x:v>
      </x:c>
      <x:c r="F106" s="101" t="str"/>
      <x:c r="G106" s="102" t="n">
        <x:v>104</x:v>
      </x:c>
      <x:c r="H106" s="102" t="n">
        <x:v>102</x:v>
      </x:c>
      <x:c r="I106" s="102" t="n">
        <x:v>106.8</x:v>
      </x:c>
      <x:c r="J106" s="105" t="str">
        <x:v>ANT</x:v>
      </x:c>
      <x:c r="K106" s="105" t="str">
        <x:v>ANT, SAI, OCO, LIN, COL</x:v>
      </x:c>
      <x:c r="L106" s="105" t="str">
        <x:v>Mercedes, Williams</x:v>
      </x:c>
      <x:c r="M106" s="106" t="n">
        <x:v>2</x:v>
      </x:c>
      <x:c r="N106" s="106" t="n">
        <x:v>1</x:v>
      </x:c>
      <x:c r="O106" s="106" t="n">
        <x:v>10</x:v>
      </x:c>
      <x:c r="P106" s="107" t="n">
        <x:v>223.8</x:v>
      </x:c>
      <x:c r="Q106" s="107" t="n">
        <x:v>3.2</x:v>
      </x:c>
      <x:c r="R106" s="107" t="n">
        <x:v>13.5</x:v>
      </x:c>
      <x:c r="S106" s="106" t="n">
        <x:v>209</x:v>
      </x:c>
      <x:c r="T106" s="105" t="str">
        <x:v>ALB (Alex Albon) → SAI (Carlos Sainz)
BOR (Gabriel Bortoleto) → LIN (Arvid Lindblad)</x:v>
      </x:c>
      <x:c r="U106" s="105" t="str">
        <x:v>ALB (Alex Albon) → SAI (Carlos Sainz): raised approximate per-asset strategy/risk utility by +23.6; projection +3.6 pts; forecast price change +0.8M; negative-P5 exposure -2.0; spent $1.4M more.
BOR (Gabriel Bortoleto) → LIN (Arvid Lindblad): raised approximate per-asset strategy/risk utility by +30.2; projection +2.2 pts; forecast price change +1.2M; negative-P5 exposure -2.0; spent $1.0M more.</x:v>
      </x:c>
    </x:row>
    <x:row r="107" ht="52" customHeight="1">
      <x:c r="A107" s="101" t="str">
        <x:v>Budget Builder</x:v>
      </x:c>
      <x:c r="B107" s="101" t="str">
        <x:v>Minimal risk accepted</x:v>
      </x:c>
      <x:c r="C107" s="101" t="n">
        <x:v>6</x:v>
      </x:c>
      <x:c r="D107" s="101" t="str">
        <x:v>Miami Grand Prix</x:v>
      </x:c>
      <x:c r="E107" s="101" t="str">
        <x:v>genuine</x:v>
      </x:c>
      <x:c r="F107" s="101" t="str">
        <x:v>wild card</x:v>
      </x:c>
      <x:c r="G107" s="102" t="n">
        <x:v>106.8</x:v>
      </x:c>
      <x:c r="H107" s="102" t="n">
        <x:v>104.3</x:v>
      </x:c>
      <x:c r="I107" s="102" t="n">
        <x:v>108.9</x:v>
      </x:c>
      <x:c r="J107" s="105" t="str">
        <x:v>ANT</x:v>
      </x:c>
      <x:c r="K107" s="105" t="str">
        <x:v>ANT, LEC, OCO, LIN, LAW</x:v>
      </x:c>
      <x:c r="L107" s="105" t="str">
        <x:v>Ferrari, Racing Bulls</x:v>
      </x:c>
      <x:c r="M107" s="106" t="n">
        <x:v>4</x:v>
      </x:c>
      <x:c r="N107" s="106" t="n">
        <x:v>1</x:v>
      </x:c>
      <x:c r="O107" s="106" t="n">
        <x:v>0</x:v>
      </x:c>
      <x:c r="P107" s="107" t="n">
        <x:v>378.5</x:v>
      </x:c>
      <x:c r="Q107" s="107" t="n">
        <x:v>3.3</x:v>
      </x:c>
      <x:c r="R107" s="107" t="n">
        <x:v>0</x:v>
      </x:c>
      <x:c r="S107" s="106" t="n">
        <x:v>168</x:v>
      </x:c>
      <x:c r="T107" s="105" t="str">
        <x:v>COL (Franco Colapinto) → LAW (Liam Lawson)
SAI (Carlos Sainz) → LEC (Charles Leclerc)
Mercedes → Ferrari
Williams → Racing Bulls</x:v>
      </x:c>
      <x:c r="U107" s="105" t="str">
        <x:v>COL (Franco Colapinto) → LAW (Liam Lawson): Wild Card made the permanent rebuild free; Forecasted competitive-order change called for 4 lineup changes and a 41.0-utility improvement; this is the upgrade/order-shift proxy.; raised approximate per-asset strategy/risk utility by +21.2; projection +11.2 pts; negative-P5 exposure -5.0; released $0.1M.
SAI (Carlos Sainz) → LEC (Charles Leclerc): Wild Card made the permanent rebuild free; Forecasted competitive-order change called for 4 lineup changes and a 41.0-utility improvement; this is the upgrade/order-shift proxy.; raised approximate per-asset strategy/risk utility by +51.6; projection +37.6 pts; forecast price change +0.1M; negative-P5 exposure -6.0; spent $11.3M more.
Mercedes → Ferrari: Wild Card made the permanent rebuild free; Forecasted competitive-order change called for 4 lineup changes and a 41.0-utility improvement; this is the upgrade/order-shift proxy.; was -8.2 utility on this explanatory pairing but enabled the higher-utility seven-asset lineup; gave up 8.2 projected pts; released $6.0M.
Williams → Racing Bulls: Wild Card made the permanent rebuild free; Forecasted competitive-order change called for 4 lineup changes and a 41.0-utility improvement; this is the upgrade/order-shift proxy.; raised approximate per-asset strategy/risk utility by +28.2; projection +28.2 pts; released $5.7M.</x:v>
      </x:c>
    </x:row>
    <x:row r="108" ht="52" customHeight="1">
      <x:c r="A108" s="101" t="str">
        <x:v>Budget Builder</x:v>
      </x:c>
      <x:c r="B108" s="101" t="str">
        <x:v>Minimal risk accepted</x:v>
      </x:c>
      <x:c r="C108" s="101" t="n">
        <x:v>7</x:v>
      </x:c>
      <x:c r="D108" s="101" t="str">
        <x:v>Canadian Grand Prix</x:v>
      </x:c>
      <x:c r="E108" s="101" t="str">
        <x:v>genuine</x:v>
      </x:c>
      <x:c r="F108" s="101" t="str"/>
      <x:c r="G108" s="102" t="n">
        <x:v>108.9</x:v>
      </x:c>
      <x:c r="H108" s="102" t="n">
        <x:v>107.1</x:v>
      </x:c>
      <x:c r="I108" s="102" t="n">
        <x:v>110.4</x:v>
      </x:c>
      <x:c r="J108" s="105" t="str">
        <x:v>ANT</x:v>
      </x:c>
      <x:c r="K108" s="105" t="str">
        <x:v>ANT, LEC, OCO, COL, PER</x:v>
      </x:c>
      <x:c r="L108" s="105" t="str">
        <x:v>Ferrari, Racing Bulls</x:v>
      </x:c>
      <x:c r="M108" s="106" t="n">
        <x:v>2</x:v>
      </x:c>
      <x:c r="N108" s="106" t="n">
        <x:v>2</x:v>
      </x:c>
      <x:c r="O108" s="106" t="n">
        <x:v>0</x:v>
      </x:c>
      <x:c r="P108" s="107" t="n">
        <x:v>293.9</x:v>
      </x:c>
      <x:c r="Q108" s="107" t="n">
        <x:v>3.3</x:v>
      </x:c>
      <x:c r="R108" s="107" t="n">
        <x:v>25</x:v>
      </x:c>
      <x:c r="S108" s="106" t="n">
        <x:v>264</x:v>
      </x:c>
      <x:c r="T108" s="105" t="str">
        <x:v>LAW (Liam Lawson) → COL (Franco Colapinto)
LIN (Arvid Lindblad) → PER (Sergio Perez)</x:v>
      </x:c>
      <x:c r="U108" s="105" t="str">
        <x:v>LAW (Liam Lawson) → COL (Franco Colapinto): raised approximate per-asset strategy/risk utility by +44.8; projection +0.8 pts; forecast price change +1.2M; negative-P5 exposure -10.0; spent $0.1M more.
LIN (Arvid Lindblad) → PER (Sergio Perez): raised approximate per-asset strategy/risk utility by +11.4; projection +1.4 pts; forecast price change +1.2M; negative-P5 exposure +7.0; spent $0.6M more.</x:v>
      </x:c>
    </x:row>
    <x:row r="109" ht="52" customHeight="1">
      <x:c r="A109" s="101" t="str">
        <x:v>Budget Builder</x:v>
      </x:c>
      <x:c r="B109" s="101" t="str">
        <x:v>Minimal risk accepted</x:v>
      </x:c>
      <x:c r="C109" s="101" t="n">
        <x:v>8</x:v>
      </x:c>
      <x:c r="D109" s="101" t="str">
        <x:v>Monaco Grand Prix</x:v>
      </x:c>
      <x:c r="E109" s="101" t="str">
        <x:v>genuine</x:v>
      </x:c>
      <x:c r="F109" s="101" t="str">
        <x:v>limitless</x:v>
      </x:c>
      <x:c r="G109" s="102" t="n">
        <x:v>110.4</x:v>
      </x:c>
      <x:c r="H109" s="102" t="n">
        <x:v>181.5</x:v>
      </x:c>
      <x:c r="I109" s="102" t="n">
        <x:v>111.9</x:v>
      </x:c>
      <x:c r="J109" s="105" t="str">
        <x:v>LEC</x:v>
      </x:c>
      <x:c r="K109" s="105" t="str">
        <x:v>RUS, PIA, ANT, LEC, HAM</x:v>
      </x:c>
      <x:c r="L109" s="105" t="str">
        <x:v>Mercedes, Ferrari</x:v>
      </x:c>
      <x:c r="M109" s="106" t="n">
        <x:v>0</x:v>
      </x:c>
      <x:c r="N109" s="106" t="n">
        <x:v>1</x:v>
      </x:c>
      <x:c r="O109" s="106" t="n">
        <x:v>0</x:v>
      </x:c>
      <x:c r="P109" s="107" t="n">
        <x:v>310.6</x:v>
      </x:c>
      <x:c r="Q109" s="107" t="n">
        <x:v>1.3</x:v>
      </x:c>
      <x:c r="R109" s="107" t="n">
        <x:v>6</x:v>
      </x:c>
      <x:c r="S109" s="106" t="n">
        <x:v>171</x:v>
      </x:c>
      <x:c r="T109" s="105" t="str">
        <x:v>Temporary Limitless lineup; owned team reverted</x:v>
      </x:c>
      <x:c r="U109" s="105" t="str">
        <x:v>Limitless temporarily added HAM (Lewis Hamilton), PIA (Oscar Piastri), RUS (George Russell), Mercedes. Most qualifying-dependent completed circuit: 10/10 overtaking difficulty, where an unrestricted premium lineup should create the largest advantage over budget-constrained teams. The owned team reverted after the round.</x:v>
      </x:c>
    </x:row>
    <x:row r="110" ht="52" customHeight="1">
      <x:c r="A110" s="101" t="str">
        <x:v>Budget Builder</x:v>
      </x:c>
      <x:c r="B110" s="101" t="str">
        <x:v>Minimal risk accepted</x:v>
      </x:c>
      <x:c r="C110" s="101" t="n">
        <x:v>9</x:v>
      </x:c>
      <x:c r="D110" s="101" t="str">
        <x:v>Spanish Grand Prix</x:v>
      </x:c>
      <x:c r="E110" s="101" t="str">
        <x:v>genuine</x:v>
      </x:c>
      <x:c r="F110" s="101" t="str"/>
      <x:c r="G110" s="102" t="n">
        <x:v>111.9</x:v>
      </x:c>
      <x:c r="H110" s="102" t="n">
        <x:v>109</x:v>
      </x:c>
      <x:c r="I110" s="102" t="n">
        <x:v>114.4</x:v>
      </x:c>
      <x:c r="J110" s="105" t="str">
        <x:v>ANT</x:v>
      </x:c>
      <x:c r="K110" s="105" t="str">
        <x:v>ANT, HAM, OCO, COL, BOR</x:v>
      </x:c>
      <x:c r="L110" s="105" t="str">
        <x:v>Ferrari, Racing Bulls</x:v>
      </x:c>
      <x:c r="M110" s="106" t="n">
        <x:v>2</x:v>
      </x:c>
      <x:c r="N110" s="106" t="n">
        <x:v>2</x:v>
      </x:c>
      <x:c r="O110" s="106" t="n">
        <x:v>0</x:v>
      </x:c>
      <x:c r="P110" s="107" t="n">
        <x:v>193.8</x:v>
      </x:c>
      <x:c r="Q110" s="107" t="n">
        <x:v>1.7</x:v>
      </x:c>
      <x:c r="R110" s="107" t="n">
        <x:v>7</x:v>
      </x:c>
      <x:c r="S110" s="106" t="n">
        <x:v>156</x:v>
      </x:c>
      <x:c r="T110" s="105" t="str">
        <x:v>LEC (Charles Leclerc) → HAM (Lewis Hamilton)
PER (Sergio Perez) → BOR (Gabriel Bortoleto)</x:v>
      </x:c>
      <x:c r="U110" s="105" t="str">
        <x:v>LEC (Charles Leclerc) → HAM (Lewis Hamilton): raised approximate per-asset strategy/risk utility by +23.7; gave up 0.3 projected pts; forecast price change +0.6M; negative-P5 exposure -6.0; spent $0.1M more.
PER (Sergio Perez) → BOR (Gabriel Bortoleto): raised approximate per-asset strategy/risk utility by +29.3; projection +3.3 pts; forecast price change +0.4M; negative-P5 exposure -9.0; released $1.2M.</x:v>
      </x:c>
    </x:row>
    <x:row r="111" ht="52" customHeight="1">
      <x:c r="A111" s="101" t="str">
        <x:v>Budget Builder</x:v>
      </x:c>
      <x:c r="B111" s="101" t="str">
        <x:v>Minimal risk accepted</x:v>
      </x:c>
      <x:c r="C111" s="101" t="n">
        <x:v>10</x:v>
      </x:c>
      <x:c r="D111" s="101" t="str">
        <x:v>Austrian Grand Prix</x:v>
      </x:c>
      <x:c r="E111" s="101" t="str">
        <x:v>genuine</x:v>
      </x:c>
      <x:c r="F111" s="101" t="str">
        <x:v>no negative</x:v>
      </x:c>
      <x:c r="G111" s="102" t="n">
        <x:v>114.4</x:v>
      </x:c>
      <x:c r="H111" s="102" t="n">
        <x:v>112.7</x:v>
      </x:c>
      <x:c r="I111" s="102" t="n">
        <x:v>115.7</x:v>
      </x:c>
      <x:c r="J111" s="105" t="str">
        <x:v>HAM</x:v>
      </x:c>
      <x:c r="K111" s="105" t="str">
        <x:v>HAM, OCO, LIN, COL, BOR</x:v>
      </x:c>
      <x:c r="L111" s="105" t="str">
        <x:v>Mercedes, Ferrari</x:v>
      </x:c>
      <x:c r="M111" s="106" t="n">
        <x:v>2</x:v>
      </x:c>
      <x:c r="N111" s="106" t="n">
        <x:v>1</x:v>
      </x:c>
      <x:c r="O111" s="106" t="n">
        <x:v>10</x:v>
      </x:c>
      <x:c r="P111" s="107" t="n">
        <x:v>205.9</x:v>
      </x:c>
      <x:c r="Q111" s="107" t="n">
        <x:v>0.9</x:v>
      </x:c>
      <x:c r="R111" s="107" t="n">
        <x:v>9</x:v>
      </x:c>
      <x:c r="S111" s="106" t="n">
        <x:v>213</x:v>
      </x:c>
      <x:c r="T111" s="105" t="str">
        <x:v>ANT (Kimi Antonelli) → LIN (Arvid Lindblad)
Racing Bulls → Mercedes</x:v>
      </x:c>
      <x:c r="U111" s="105" t="str">
        <x:v>ANT (Kimi Antonelli) → LIN (Arvid Lindblad): raised approximate per-asset strategy/risk utility by +13.3; gave up 21.3 projected pts; forecast price change +0.5M; negative-P5 exposure -12.3; released $19.7M.
Racing Bulls → Mercedes: raised approximate per-asset strategy/risk utility by +54.7; projection +52.5 pts; forecast price change -0.3M; negative-P5 exposure -4.1; spent $20.9M more.
No Negative: Highest combined pre-race attrition signal after accounting for field DNF probability (18.5%), weather DNF multiplier (1.10x), and rain risk (LOW).</x:v>
      </x:c>
    </x:row>
    <x:row r="112" ht="52" customHeight="1">
      <x:c r="A112" s="101" t="str">
        <x:v>Budget Builder</x:v>
      </x:c>
      <x:c r="B112" s="101" t="str">
        <x:v>Minimal risk accepted</x:v>
      </x:c>
      <x:c r="C112" s="101" t="n">
        <x:v>11</x:v>
      </x:c>
      <x:c r="D112" s="101" t="str">
        <x:v>British Grand Prix</x:v>
      </x:c>
      <x:c r="E112" s="101" t="str">
        <x:v>genuine</x:v>
      </x:c>
      <x:c r="F112" s="101" t="str"/>
      <x:c r="G112" s="102" t="n">
        <x:v>115.7</x:v>
      </x:c>
      <x:c r="H112" s="102" t="n">
        <x:v>111.2</x:v>
      </x:c>
      <x:c r="I112" s="102" t="n">
        <x:v>118.6</x:v>
      </x:c>
      <x:c r="J112" s="105" t="str">
        <x:v>VER</x:v>
      </x:c>
      <x:c r="K112" s="105" t="str">
        <x:v>VER, HAM, LIN, COL, BOR</x:v>
      </x:c>
      <x:c r="L112" s="105" t="str">
        <x:v>Ferrari, Racing Bulls</x:v>
      </x:c>
      <x:c r="M112" s="106" t="n">
        <x:v>2</x:v>
      </x:c>
      <x:c r="N112" s="106" t="n">
        <x:v>1</x:v>
      </x:c>
      <x:c r="O112" s="106" t="n">
        <x:v>10</x:v>
      </x:c>
      <x:c r="P112" s="107" t="n">
        <x:v>232.5</x:v>
      </x:c>
      <x:c r="Q112" s="107" t="n">
        <x:v>2.3</x:v>
      </x:c>
      <x:c r="R112" s="107" t="n">
        <x:v>36.3</x:v>
      </x:c>
      <x:c r="S112" s="106" t="n">
        <x:v>225</x:v>
      </x:c>
      <x:c r="T112" s="105" t="str">
        <x:v>OCO (Esteban Ocon) → VER (Max Verstappen)
Mercedes → Racing Bulls</x:v>
      </x:c>
      <x:c r="U112" s="105" t="str">
        <x:v>OCO (Esteban Ocon) → VER (Max Verstappen): raised approximate per-asset strategy/risk utility by +49.4; projection +23.4 pts; forecast price change +0.3M; negative-P5 exposure -10.0; spent $17.8M more; became the projected 2x captain.
Mercedes → Racing Bulls: was -42.1 utility on this explanatory pairing but enabled the higher-utility seven-asset lineup; gave up 43.7 projected pts; forecast price change +0.3M; negative-P5 exposure +2.2; released $20.6M.</x:v>
      </x:c>
    </x:row>
    <x:row r="113" ht="52" customHeight="1">
      <x:c r="A113" s="101" t="str">
        <x:v>Budget Builder</x:v>
      </x:c>
      <x:c r="B113" s="101" t="str">
        <x:v>Minimal risk accepted</x:v>
      </x:c>
      <x:c r="C113" s="101" t="n">
        <x:v>12</x:v>
      </x:c>
      <x:c r="D113" s="101" t="str">
        <x:v>Belgian Grand Prix</x:v>
      </x:c>
      <x:c r="E113" s="101" t="str">
        <x:v>genuine</x:v>
      </x:c>
      <x:c r="F113" s="101" t="str">
        <x:v>autopilot</x:v>
      </x:c>
      <x:c r="G113" s="102" t="n">
        <x:v>118.6</x:v>
      </x:c>
      <x:c r="H113" s="102" t="n">
        <x:v>118.2</x:v>
      </x:c>
      <x:c r="I113" s="102" t="n">
        <x:v>121.7</x:v>
      </x:c>
      <x:c r="J113" s="105" t="str">
        <x:v>HAD</x:v>
      </x:c>
      <x:c r="K113" s="105" t="str">
        <x:v>HAM, HAD, LIN, COL, BOR</x:v>
      </x:c>
      <x:c r="L113" s="105" t="str">
        <x:v>Red Bull, Ferrari</x:v>
      </x:c>
      <x:c r="M113" s="106" t="n">
        <x:v>2</x:v>
      </x:c>
      <x:c r="N113" s="106" t="n">
        <x:v>1</x:v>
      </x:c>
      <x:c r="O113" s="106" t="n">
        <x:v>10</x:v>
      </x:c>
      <x:c r="P113" s="107" t="n">
        <x:v>225.5</x:v>
      </x:c>
      <x:c r="Q113" s="107" t="n">
        <x:v>2.7</x:v>
      </x:c>
      <x:c r="R113" s="107" t="n">
        <x:v>67</x:v>
      </x:c>
      <x:c r="S113" s="106" t="n">
        <x:v>259</x:v>
      </x:c>
      <x:c r="T113" s="105" t="str">
        <x:v>VER (Max Verstappen) → HAD (Isack Hadjar)
Racing Bulls → Red Bull</x:v>
      </x:c>
      <x:c r="U113" s="105" t="str">
        <x:v>VER (Max Verstappen) → HAD (Isack Hadjar): raised approximate per-asset strategy/risk utility by +14.6; projection +9.0 pts; forecast price change +0.7M; negative-P5 exposure +4.2; released $14.5M; became the projected 2x captain.
Racing Bulls → Red Bull: raised approximate per-asset strategy/risk utility by +58.8; projection +52.0 pts; forecast price change -0.3M; negative-P5 exposure -6.4; spent $18.6M more.
Autopilot: Greatest remaining forecast uncertainty between captain candidates.</x:v>
      </x:c>
    </x:row>
    <x:row r="114" ht="52" customHeight="1">
      <x:c r="A114" s="101" t="str">
        <x:v>Budget Builder</x:v>
      </x:c>
      <x:c r="B114" s="101" t="str">
        <x:v>Minimal risk accepted</x:v>
      </x:c>
      <x:c r="C114" s="101" t="n">
        <x:v>13</x:v>
      </x:c>
      <x:c r="D114" s="101" t="str">
        <x:v>Hungarian Grand Prix</x:v>
      </x:c>
      <x:c r="E114" s="101" t="str">
        <x:v>genuine</x:v>
      </x:c>
      <x:c r="F114" s="101" t="str"/>
      <x:c r="G114" s="102" t="n">
        <x:v>121.7</x:v>
      </x:c>
      <x:c r="H114" s="102" t="n">
        <x:v>121.4</x:v>
      </x:c>
      <x:c r="I114" s="102" t="n">
        <x:v>124.3</x:v>
      </x:c>
      <x:c r="J114" s="105" t="str">
        <x:v>HAM</x:v>
      </x:c>
      <x:c r="K114" s="105" t="str">
        <x:v>HAM, HAD, LIN, COL, BOR</x:v>
      </x:c>
      <x:c r="L114" s="105" t="str">
        <x:v>McLaren, Ferrari</x:v>
      </x:c>
      <x:c r="M114" s="106" t="n">
        <x:v>1</x:v>
      </x:c>
      <x:c r="N114" s="106" t="n">
        <x:v>1</x:v>
      </x:c>
      <x:c r="O114" s="106" t="n">
        <x:v>0</x:v>
      </x:c>
      <x:c r="P114" s="107" t="n">
        <x:v>184.8</x:v>
      </x:c>
      <x:c r="Q114" s="107" t="n">
        <x:v>1.9</x:v>
      </x:c>
      <x:c r="R114" s="107" t="n">
        <x:v>64.8</x:v>
      </x:c>
      <x:c r="S114" s="106" t="n">
        <x:v>191</x:v>
      </x:c>
      <x:c r="T114" s="105" t="str">
        <x:v>Red Bull → McLaren</x:v>
      </x:c>
      <x:c r="U114" s="105" t="str">
        <x:v>Red Bull → McLaren: raised approximate per-asset strategy/risk utility by +20.7; projection +20.7 pts; spent $0.1M more.</x:v>
      </x:c>
    </x:row>
    <x:row r="115" ht="52" customHeight="1">
      <x:c r="A115" s="101" t="str">
        <x:v>Budget Builder</x:v>
      </x:c>
      <x:c r="B115" s="101" t="str">
        <x:v>Medium tolerance</x:v>
      </x:c>
      <x:c r="C115" s="101" t="n">
        <x:v>1</x:v>
      </x:c>
      <x:c r="D115" s="101" t="str">
        <x:v>Australian Grand Prix</x:v>
      </x:c>
      <x:c r="E115" s="101" t="str">
        <x:v>reconstructed</x:v>
      </x:c>
      <x:c r="F115" s="101" t="str"/>
      <x:c r="G115" s="102" t="n">
        <x:v>100</x:v>
      </x:c>
      <x:c r="H115" s="102" t="n">
        <x:v>92.4</x:v>
      </x:c>
      <x:c r="I115" s="102" t="n">
        <x:v>103.4</x:v>
      </x:c>
      <x:c r="J115" s="105" t="str">
        <x:v>RUS</x:v>
      </x:c>
      <x:c r="K115" s="105" t="str">
        <x:v>RUS, OCO, LIN, COL, BOR</x:v>
      </x:c>
      <x:c r="L115" s="105" t="str">
        <x:v>Mercedes, Haas</x:v>
      </x:c>
      <x:c r="M115" s="106" t="n">
        <x:v>0</x:v>
      </x:c>
      <x:c r="N115" s="106" t="n">
        <x:v>0</x:v>
      </x:c>
      <x:c r="O115" s="106" t="n">
        <x:v>0</x:v>
      </x:c>
      <x:c r="P115" s="107" t="n">
        <x:v>225.3</x:v>
      </x:c>
      <x:c r="Q115" s="107" t="n">
        <x:v>2.8</x:v>
      </x:c>
      <x:c r="R115" s="107" t="n">
        <x:v>17.5</x:v>
      </x:c>
      <x:c r="S115" s="106" t="n">
        <x:v>251</x:v>
      </x:c>
      <x:c r="T115" s="105" t="str">
        <x:v>Initial selection</x:v>
      </x:c>
      <x:c r="U115" s="105" t="str">
        <x:v>Initial team selected by the manager philosophy and risk profile under the $100.0M cap.</x:v>
      </x:c>
    </x:row>
    <x:row r="116" ht="52" customHeight="1">
      <x:c r="A116" s="101" t="str">
        <x:v>Budget Builder</x:v>
      </x:c>
      <x:c r="B116" s="101" t="str">
        <x:v>Medium tolerance</x:v>
      </x:c>
      <x:c r="C116" s="101" t="n">
        <x:v>2</x:v>
      </x:c>
      <x:c r="D116" s="101" t="str">
        <x:v>Chinese Grand Prix</x:v>
      </x:c>
      <x:c r="E116" s="101" t="str">
        <x:v>reconstructed</x:v>
      </x:c>
      <x:c r="F116" s="101" t="str"/>
      <x:c r="G116" s="102" t="n">
        <x:v>103.4</x:v>
      </x:c>
      <x:c r="H116" s="102" t="n">
        <x:v>96.7</x:v>
      </x:c>
      <x:c r="I116" s="102" t="n">
        <x:v>103.4</x:v>
      </x:c>
      <x:c r="J116" s="105" t="str">
        <x:v>ANT</x:v>
      </x:c>
      <x:c r="K116" s="105" t="str">
        <x:v>ANT, OCO, LIN, COL, BOR</x:v>
      </x:c>
      <x:c r="L116" s="105" t="str">
        <x:v>Mercedes, Alpine</x:v>
      </x:c>
      <x:c r="M116" s="106" t="n">
        <x:v>2</x:v>
      </x:c>
      <x:c r="N116" s="106" t="n">
        <x:v>2</x:v>
      </x:c>
      <x:c r="O116" s="106" t="n">
        <x:v>0</x:v>
      </x:c>
      <x:c r="P116" s="107" t="n">
        <x:v>316.3</x:v>
      </x:c>
      <x:c r="Q116" s="107" t="n">
        <x:v>3.6</x:v>
      </x:c>
      <x:c r="R116" s="107" t="n">
        <x:v>27.5</x:v>
      </x:c>
      <x:c r="S116" s="106" t="n">
        <x:v>331</x:v>
      </x:c>
      <x:c r="T116" s="105" t="str">
        <x:v>RUS (George Russell) → ANT (Kimi Antonelli)
Haas → Alpine</x:v>
      </x:c>
      <x:c r="U116" s="105" t="str">
        <x:v>RUS (George Russell) → ANT (Kimi Antonelli): raised approximate per-asset strategy/risk utility by +2.7; projection +2.7 pts; released $4.2M; became the projected 2x captain.
Haas → Alpine: raised approximate per-asset strategy/risk utility by +1.8; projection +2.9 pts; negative-P5 exposure +1.5; spent $5.1M more.</x:v>
      </x:c>
    </x:row>
    <x:row r="117" ht="52" customHeight="1">
      <x:c r="A117" s="101" t="str">
        <x:v>Budget Builder</x:v>
      </x:c>
      <x:c r="B117" s="101" t="str">
        <x:v>Medium tolerance</x:v>
      </x:c>
      <x:c r="C117" s="101" t="n">
        <x:v>3</x:v>
      </x:c>
      <x:c r="D117" s="101" t="str">
        <x:v>Japanese Grand Prix</x:v>
      </x:c>
      <x:c r="E117" s="101" t="str">
        <x:v>reconstructed</x:v>
      </x:c>
      <x:c r="F117" s="101" t="str"/>
      <x:c r="G117" s="102" t="n">
        <x:v>103.4</x:v>
      </x:c>
      <x:c r="H117" s="102" t="n">
        <x:v>102.5</x:v>
      </x:c>
      <x:c r="I117" s="102" t="n">
        <x:v>106.2</x:v>
      </x:c>
      <x:c r="J117" s="105" t="str">
        <x:v>ANT</x:v>
      </x:c>
      <x:c r="K117" s="105" t="str">
        <x:v>ANT, SAI, OCO, LIN, COL</x:v>
      </x:c>
      <x:c r="L117" s="105" t="str">
        <x:v>Mercedes, Alpine</x:v>
      </x:c>
      <x:c r="M117" s="106" t="n">
        <x:v>1</x:v>
      </x:c>
      <x:c r="N117" s="106" t="n">
        <x:v>1</x:v>
      </x:c>
      <x:c r="O117" s="106" t="n">
        <x:v>0</x:v>
      </x:c>
      <x:c r="P117" s="107" t="n">
        <x:v>232.4</x:v>
      </x:c>
      <x:c r="Q117" s="107" t="n">
        <x:v>3.2</x:v>
      </x:c>
      <x:c r="R117" s="107" t="n">
        <x:v>20.5</x:v>
      </x:c>
      <x:c r="S117" s="106" t="n">
        <x:v>235</x:v>
      </x:c>
      <x:c r="T117" s="105" t="str">
        <x:v>BOR (Gabriel Bortoleto) → SAI (Carlos Sainz)</x:v>
      </x:c>
      <x:c r="U117" s="105" t="str">
        <x:v>BOR (Gabriel Bortoleto) → SAI (Carlos Sainz): raised approximate per-asset strategy/risk utility by +14.0; gave up 2.0 projected pts; forecast price change +0.8M; spent $5.8M more.</x:v>
      </x:c>
    </x:row>
    <x:row r="118" ht="52" customHeight="1">
      <x:c r="A118" s="101" t="str">
        <x:v>Budget Builder</x:v>
      </x:c>
      <x:c r="B118" s="101" t="str">
        <x:v>Medium tolerance</x:v>
      </x:c>
      <x:c r="C118" s="101" t="n">
        <x:v>6</x:v>
      </x:c>
      <x:c r="D118" s="101" t="str">
        <x:v>Miami Grand Prix</x:v>
      </x:c>
      <x:c r="E118" s="101" t="str">
        <x:v>genuine</x:v>
      </x:c>
      <x:c r="F118" s="101" t="str">
        <x:v>wild card</x:v>
      </x:c>
      <x:c r="G118" s="102" t="n">
        <x:v>106.2</x:v>
      </x:c>
      <x:c r="H118" s="102" t="n">
        <x:v>104.3</x:v>
      </x:c>
      <x:c r="I118" s="102" t="n">
        <x:v>108.3</x:v>
      </x:c>
      <x:c r="J118" s="105" t="str">
        <x:v>ANT</x:v>
      </x:c>
      <x:c r="K118" s="105" t="str">
        <x:v>ANT, LEC, OCO, LIN, LAW</x:v>
      </x:c>
      <x:c r="L118" s="105" t="str">
        <x:v>Ferrari, Racing Bulls</x:v>
      </x:c>
      <x:c r="M118" s="106" t="n">
        <x:v>4</x:v>
      </x:c>
      <x:c r="N118" s="106" t="n">
        <x:v>1</x:v>
      </x:c>
      <x:c r="O118" s="106" t="n">
        <x:v>0</x:v>
      </x:c>
      <x:c r="P118" s="107" t="n">
        <x:v>378.5</x:v>
      </x:c>
      <x:c r="Q118" s="107" t="n">
        <x:v>3.3</x:v>
      </x:c>
      <x:c r="R118" s="107" t="n">
        <x:v>0</x:v>
      </x:c>
      <x:c r="S118" s="106" t="n">
        <x:v>168</x:v>
      </x:c>
      <x:c r="T118" s="105" t="str">
        <x:v>COL (Franco Colapinto) → LAW (Liam Lawson)
SAI (Carlos Sainz) → LEC (Charles Leclerc)
Alpine → Racing Bulls
Mercedes → Ferrari</x:v>
      </x:c>
      <x:c r="U118" s="105" t="str">
        <x:v>COL (Franco Colapinto) → LAW (Liam Lawson): Wild Card made the permanent rebuild free; Forecasted competitive-order change called for 4 lineup changes and a 34.8-utility improvement; this is the upgrade/order-shift proxy.; raised approximate per-asset strategy/risk utility by +14.9; projection +11.2 pts; negative-P5 exposure -5.0; released $0.1M.
SAI (Carlos Sainz) → LEC (Charles Leclerc): Wild Card made the permanent rebuild free; Forecasted competitive-order change called for 4 lineup changes and a 34.8-utility improvement; this is the upgrade/order-shift proxy.; raised approximate per-asset strategy/risk utility by +44.1; projection +37.6 pts; forecast price change +0.1M; negative-P5 exposure -6.0; spent $11.3M more.
Alpine → Racing Bulls: Wild Card made the permanent rebuild free; Forecasted competitive-order change called for 4 lineup changes and a 34.8-utility improvement; this is the upgrade/order-shift proxy.; raised approximate per-asset strategy/risk utility by +11.8; projection +11.8 pts; released $6.2M.
Mercedes → Ferrari: Wild Card made the permanent rebuild free; Forecasted competitive-order change called for 4 lineup changes and a 34.8-utility improvement; this is the upgrade/order-shift proxy.; was -8.2 utility on this explanatory pairing but enabled the higher-utility seven-asset lineup; gave up 8.2 projected pts; released $6.0M.</x:v>
      </x:c>
    </x:row>
    <x:row r="119" ht="52" customHeight="1">
      <x:c r="A119" s="101" t="str">
        <x:v>Budget Builder</x:v>
      </x:c>
      <x:c r="B119" s="101" t="str">
        <x:v>Medium tolerance</x:v>
      </x:c>
      <x:c r="C119" s="101" t="n">
        <x:v>7</x:v>
      </x:c>
      <x:c r="D119" s="101" t="str">
        <x:v>Canadian Grand Prix</x:v>
      </x:c>
      <x:c r="E119" s="101" t="str">
        <x:v>genuine</x:v>
      </x:c>
      <x:c r="F119" s="101" t="str"/>
      <x:c r="G119" s="102" t="n">
        <x:v>108.3</x:v>
      </x:c>
      <x:c r="H119" s="102" t="n">
        <x:v>107.1</x:v>
      </x:c>
      <x:c r="I119" s="102" t="n">
        <x:v>109.8</x:v>
      </x:c>
      <x:c r="J119" s="105" t="str">
        <x:v>ANT</x:v>
      </x:c>
      <x:c r="K119" s="105" t="str">
        <x:v>ANT, LEC, OCO, COL, PER</x:v>
      </x:c>
      <x:c r="L119" s="105" t="str">
        <x:v>Ferrari, Racing Bulls</x:v>
      </x:c>
      <x:c r="M119" s="106" t="n">
        <x:v>2</x:v>
      </x:c>
      <x:c r="N119" s="106" t="n">
        <x:v>2</x:v>
      </x:c>
      <x:c r="O119" s="106" t="n">
        <x:v>0</x:v>
      </x:c>
      <x:c r="P119" s="107" t="n">
        <x:v>293.9</x:v>
      </x:c>
      <x:c r="Q119" s="107" t="n">
        <x:v>3.3</x:v>
      </x:c>
      <x:c r="R119" s="107" t="n">
        <x:v>25</x:v>
      </x:c>
      <x:c r="S119" s="106" t="n">
        <x:v>264</x:v>
      </x:c>
      <x:c r="T119" s="105" t="str">
        <x:v>LAW (Liam Lawson) → COL (Franco Colapinto)
LIN (Arvid Lindblad) → PER (Sergio Perez)</x:v>
      </x:c>
      <x:c r="U119" s="105" t="str">
        <x:v>LAW (Liam Lawson) → COL (Franco Colapinto): raised approximate per-asset strategy/risk utility by +32.3; projection +0.8 pts; forecast price change +1.2M; negative-P5 exposure -10.0; spent $0.1M more.
LIN (Arvid Lindblad) → PER (Sergio Perez): raised approximate per-asset strategy/risk utility by +20.1; projection +1.4 pts; forecast price change +1.2M; negative-P5 exposure +7.0; spent $0.6M more.</x:v>
      </x:c>
    </x:row>
    <x:row r="120" ht="52" customHeight="1">
      <x:c r="A120" s="101" t="str">
        <x:v>Budget Builder</x:v>
      </x:c>
      <x:c r="B120" s="101" t="str">
        <x:v>Medium tolerance</x:v>
      </x:c>
      <x:c r="C120" s="101" t="n">
        <x:v>8</x:v>
      </x:c>
      <x:c r="D120" s="101" t="str">
        <x:v>Monaco Grand Prix</x:v>
      </x:c>
      <x:c r="E120" s="101" t="str">
        <x:v>genuine</x:v>
      </x:c>
      <x:c r="F120" s="101" t="str">
        <x:v>limitless</x:v>
      </x:c>
      <x:c r="G120" s="102" t="n">
        <x:v>109.8</x:v>
      </x:c>
      <x:c r="H120" s="102" t="n">
        <x:v>181.5</x:v>
      </x:c>
      <x:c r="I120" s="102" t="n">
        <x:v>111.3</x:v>
      </x:c>
      <x:c r="J120" s="105" t="str">
        <x:v>LEC</x:v>
      </x:c>
      <x:c r="K120" s="105" t="str">
        <x:v>RUS, PIA, ANT, LEC, HAM</x:v>
      </x:c>
      <x:c r="L120" s="105" t="str">
        <x:v>Mercedes, Ferrari</x:v>
      </x:c>
      <x:c r="M120" s="106" t="n">
        <x:v>0</x:v>
      </x:c>
      <x:c r="N120" s="106" t="n">
        <x:v>1</x:v>
      </x:c>
      <x:c r="O120" s="106" t="n">
        <x:v>0</x:v>
      </x:c>
      <x:c r="P120" s="107" t="n">
        <x:v>310.6</x:v>
      </x:c>
      <x:c r="Q120" s="107" t="n">
        <x:v>1.3</x:v>
      </x:c>
      <x:c r="R120" s="107" t="n">
        <x:v>6</x:v>
      </x:c>
      <x:c r="S120" s="106" t="n">
        <x:v>171</x:v>
      </x:c>
      <x:c r="T120" s="105" t="str">
        <x:v>Temporary Limitless lineup; owned team reverted</x:v>
      </x:c>
      <x:c r="U120" s="105" t="str">
        <x:v>Limitless temporarily added HAM (Lewis Hamilton), PIA (Oscar Piastri), RUS (George Russell), Mercedes. Most qualifying-dependent completed circuit: 10/10 overtaking difficulty, where an unrestricted premium lineup should create the largest advantage over budget-constrained teams. The owned team reverted after the round.</x:v>
      </x:c>
    </x:row>
    <x:row r="121" ht="52" customHeight="1">
      <x:c r="A121" s="101" t="str">
        <x:v>Budget Builder</x:v>
      </x:c>
      <x:c r="B121" s="101" t="str">
        <x:v>Medium tolerance</x:v>
      </x:c>
      <x:c r="C121" s="101" t="n">
        <x:v>9</x:v>
      </x:c>
      <x:c r="D121" s="101" t="str">
        <x:v>Spanish Grand Prix</x:v>
      </x:c>
      <x:c r="E121" s="101" t="str">
        <x:v>genuine</x:v>
      </x:c>
      <x:c r="F121" s="101" t="str"/>
      <x:c r="G121" s="102" t="n">
        <x:v>111.3</x:v>
      </x:c>
      <x:c r="H121" s="102" t="n">
        <x:v>109</x:v>
      </x:c>
      <x:c r="I121" s="102" t="n">
        <x:v>113.8</x:v>
      </x:c>
      <x:c r="J121" s="105" t="str">
        <x:v>ANT</x:v>
      </x:c>
      <x:c r="K121" s="105" t="str">
        <x:v>ANT, HAM, OCO, COL, BOR</x:v>
      </x:c>
      <x:c r="L121" s="105" t="str">
        <x:v>Ferrari, Racing Bulls</x:v>
      </x:c>
      <x:c r="M121" s="106" t="n">
        <x:v>2</x:v>
      </x:c>
      <x:c r="N121" s="106" t="n">
        <x:v>2</x:v>
      </x:c>
      <x:c r="O121" s="106" t="n">
        <x:v>0</x:v>
      </x:c>
      <x:c r="P121" s="107" t="n">
        <x:v>193.8</x:v>
      </x:c>
      <x:c r="Q121" s="107" t="n">
        <x:v>1.7</x:v>
      </x:c>
      <x:c r="R121" s="107" t="n">
        <x:v>7</x:v>
      </x:c>
      <x:c r="S121" s="106" t="n">
        <x:v>156</x:v>
      </x:c>
      <x:c r="T121" s="105" t="str">
        <x:v>LEC (Charles Leclerc) → HAM (Lewis Hamilton)
PER (Sergio Perez) → BOR (Gabriel Bortoleto)</x:v>
      </x:c>
      <x:c r="U121" s="105" t="str">
        <x:v>LEC (Charles Leclerc) → HAM (Lewis Hamilton): raised approximate per-asset strategy/risk utility by +16.2; gave up 0.3 projected pts; forecast price change +0.6M; negative-P5 exposure -6.0; spent $0.1M more.
PER (Sergio Perez) → BOR (Gabriel Bortoleto): raised approximate per-asset strategy/risk utility by +18.1; projection +3.3 pts; forecast price change +0.4M; negative-P5 exposure -9.0; released $1.2M.</x:v>
      </x:c>
    </x:row>
    <x:row r="122" ht="52" customHeight="1">
      <x:c r="A122" s="101" t="str">
        <x:v>Budget Builder</x:v>
      </x:c>
      <x:c r="B122" s="101" t="str">
        <x:v>Medium tolerance</x:v>
      </x:c>
      <x:c r="C122" s="101" t="n">
        <x:v>10</x:v>
      </x:c>
      <x:c r="D122" s="101" t="str">
        <x:v>Austrian Grand Prix</x:v>
      </x:c>
      <x:c r="E122" s="101" t="str">
        <x:v>genuine</x:v>
      </x:c>
      <x:c r="F122" s="101" t="str">
        <x:v>no negative</x:v>
      </x:c>
      <x:c r="G122" s="102" t="n">
        <x:v>113.8</x:v>
      </x:c>
      <x:c r="H122" s="102" t="n">
        <x:v>113.1</x:v>
      </x:c>
      <x:c r="I122" s="102" t="n">
        <x:v>115.7</x:v>
      </x:c>
      <x:c r="J122" s="105" t="str">
        <x:v>ANT</x:v>
      </x:c>
      <x:c r="K122" s="105" t="str">
        <x:v>ANT, HAM, OCO, LIN, BOR</x:v>
      </x:c>
      <x:c r="L122" s="105" t="str">
        <x:v>Mercedes, Racing Bulls</x:v>
      </x:c>
      <x:c r="M122" s="106" t="n">
        <x:v>2</x:v>
      </x:c>
      <x:c r="N122" s="106" t="n">
        <x:v>1</x:v>
      </x:c>
      <x:c r="O122" s="106" t="n">
        <x:v>10</x:v>
      </x:c>
      <x:c r="P122" s="107" t="n">
        <x:v>199.8</x:v>
      </x:c>
      <x:c r="Q122" s="107" t="n">
        <x:v>1.9</x:v>
      </x:c>
      <x:c r="R122" s="107" t="n">
        <x:v>24.4</x:v>
      </x:c>
      <x:c r="S122" s="106" t="n">
        <x:v>228</x:v>
      </x:c>
      <x:c r="T122" s="105" t="str">
        <x:v>COL (Franco Colapinto) → LIN (Arvid Lindblad)
Ferrari → Mercedes</x:v>
      </x:c>
      <x:c r="U122" s="105" t="str">
        <x:v>COL (Franco Colapinto) → LIN (Arvid Lindblad): raised approximate per-asset strategy/risk utility by +25.6; projection +0.8 pts; forecast price change +1.2M; negative-P5 exposure -1.0; released $4.4M.
Ferrari → Mercedes: raised approximate per-asset strategy/risk utility by +19.7; projection +19.7 pts; spent $6.0M more.
No Negative: Highest combined pre-race attrition signal after accounting for field DNF probability (18.5%), weather DNF multiplier (1.10x), and rain risk (LOW).</x:v>
      </x:c>
    </x:row>
    <x:row r="123" ht="52" customHeight="1">
      <x:c r="A123" s="101" t="str">
        <x:v>Budget Builder</x:v>
      </x:c>
      <x:c r="B123" s="101" t="str">
        <x:v>Medium tolerance</x:v>
      </x:c>
      <x:c r="C123" s="101" t="n">
        <x:v>11</x:v>
      </x:c>
      <x:c r="D123" s="101" t="str">
        <x:v>British Grand Prix</x:v>
      </x:c>
      <x:c r="E123" s="101" t="str">
        <x:v>genuine</x:v>
      </x:c>
      <x:c r="F123" s="101" t="str"/>
      <x:c r="G123" s="102" t="n">
        <x:v>115.7</x:v>
      </x:c>
      <x:c r="H123" s="102" t="n">
        <x:v>114.7</x:v>
      </x:c>
      <x:c r="I123" s="102" t="n">
        <x:v>118.6</x:v>
      </x:c>
      <x:c r="J123" s="105" t="str">
        <x:v>ANT</x:v>
      </x:c>
      <x:c r="K123" s="105" t="str">
        <x:v>ANT, HAM, LIN, COL, BOR</x:v>
      </x:c>
      <x:c r="L123" s="105" t="str">
        <x:v>Mercedes, Racing Bulls</x:v>
      </x:c>
      <x:c r="M123" s="106" t="n">
        <x:v>1</x:v>
      </x:c>
      <x:c r="N123" s="106" t="n">
        <x:v>1</x:v>
      </x:c>
      <x:c r="O123" s="106" t="n">
        <x:v>0</x:v>
      </x:c>
      <x:c r="P123" s="107" t="n">
        <x:v>230.5</x:v>
      </x:c>
      <x:c r="Q123" s="107" t="n">
        <x:v>2.1</x:v>
      </x:c>
      <x:c r="R123" s="107" t="n">
        <x:v>36.3</x:v>
      </x:c>
      <x:c r="S123" s="106" t="n">
        <x:v>287</x:v>
      </x:c>
      <x:c r="T123" s="105" t="str">
        <x:v>OCO (Esteban Ocon) → COL (Franco Colapinto)</x:v>
      </x:c>
      <x:c r="U123" s="105" t="str">
        <x:v>OCO (Esteban Ocon) → COL (Franco Colapinto): raised approximate per-asset strategy/risk utility by +6.3; gave up 1.2 projected pts; forecast price change +0.4M; negative-P5 exposure +0.7; released $0.3M.</x:v>
      </x:c>
    </x:row>
    <x:row r="124" ht="52" customHeight="1">
      <x:c r="A124" s="101" t="str">
        <x:v>Budget Builder</x:v>
      </x:c>
      <x:c r="B124" s="101" t="str">
        <x:v>Medium tolerance</x:v>
      </x:c>
      <x:c r="C124" s="101" t="n">
        <x:v>12</x:v>
      </x:c>
      <x:c r="D124" s="101" t="str">
        <x:v>Belgian Grand Prix</x:v>
      </x:c>
      <x:c r="E124" s="101" t="str">
        <x:v>genuine</x:v>
      </x:c>
      <x:c r="F124" s="101" t="str">
        <x:v>autopilot</x:v>
      </x:c>
      <x:c r="G124" s="102" t="n">
        <x:v>118.6</x:v>
      </x:c>
      <x:c r="H124" s="102" t="n">
        <x:v>118.3</x:v>
      </x:c>
      <x:c r="I124" s="102" t="n">
        <x:v>121.7</x:v>
      </x:c>
      <x:c r="J124" s="105" t="str">
        <x:v>ANT</x:v>
      </x:c>
      <x:c r="K124" s="105" t="str">
        <x:v>ANT, HAM, HAD, LIN, COL</x:v>
      </x:c>
      <x:c r="L124" s="105" t="str">
        <x:v>Ferrari, Racing Bulls</x:v>
      </x:c>
      <x:c r="M124" s="106" t="n">
        <x:v>2</x:v>
      </x:c>
      <x:c r="N124" s="106" t="n">
        <x:v>1</x:v>
      </x:c>
      <x:c r="O124" s="106" t="n">
        <x:v>10</x:v>
      </x:c>
      <x:c r="P124" s="107" t="n">
        <x:v>194.3</x:v>
      </x:c>
      <x:c r="Q124" s="107" t="n">
        <x:v>2.9</x:v>
      </x:c>
      <x:c r="R124" s="107" t="n">
        <x:v>65.7</x:v>
      </x:c>
      <x:c r="S124" s="106" t="n">
        <x:v>225</x:v>
      </x:c>
      <x:c r="T124" s="105" t="str">
        <x:v>BOR (Gabriel Bortoleto) → HAD (Isack Hadjar)
Mercedes → Ferrari</x:v>
      </x:c>
      <x:c r="U124" s="105" t="str">
        <x:v>BOR (Gabriel Bortoleto) → HAD (Isack Hadjar): raised approximate per-asset strategy/risk utility by +39.6; projection +31.4 pts; forecast price change +0.4M; negative-P5 exposure -0.3; spent $6.7M more.
Mercedes → Ferrari: was -2.2 utility on this explanatory pairing but enabled the higher-utility seven-asset lineup; gave up 2.2 projected pts; released $6.0M.
Autopilot: Greatest remaining forecast uncertainty between captain candidates.</x:v>
      </x:c>
    </x:row>
    <x:row r="125" ht="52" customHeight="1">
      <x:c r="A125" s="101" t="str">
        <x:v>Budget Builder</x:v>
      </x:c>
      <x:c r="B125" s="101" t="str">
        <x:v>Medium tolerance</x:v>
      </x:c>
      <x:c r="C125" s="101" t="n">
        <x:v>13</x:v>
      </x:c>
      <x:c r="D125" s="101" t="str">
        <x:v>Hungarian Grand Prix</x:v>
      </x:c>
      <x:c r="E125" s="101" t="str">
        <x:v>genuine</x:v>
      </x:c>
      <x:c r="F125" s="101" t="str"/>
      <x:c r="G125" s="102" t="n">
        <x:v>121.7</x:v>
      </x:c>
      <x:c r="H125" s="102" t="n">
        <x:v>119.4</x:v>
      </x:c>
      <x:c r="I125" s="102" t="n">
        <x:v>124.3</x:v>
      </x:c>
      <x:c r="J125" s="105" t="str">
        <x:v>HAM</x:v>
      </x:c>
      <x:c r="K125" s="105" t="str">
        <x:v>LEC, HAM, HAD, LIN, COL</x:v>
      </x:c>
      <x:c r="L125" s="105" t="str">
        <x:v>Ferrari, Racing Bulls</x:v>
      </x:c>
      <x:c r="M125" s="106" t="n">
        <x:v>1</x:v>
      </x:c>
      <x:c r="N125" s="106" t="n">
        <x:v>1</x:v>
      </x:c>
      <x:c r="O125" s="106" t="n">
        <x:v>0</x:v>
      </x:c>
      <x:c r="P125" s="107" t="n">
        <x:v>168.9</x:v>
      </x:c>
      <x:c r="Q125" s="107" t="n">
        <x:v>2.3</x:v>
      </x:c>
      <x:c r="R125" s="107" t="n">
        <x:v>67.1</x:v>
      </x:c>
      <x:c r="S125" s="106" t="n">
        <x:v>221</x:v>
      </x:c>
      <x:c r="T125" s="105" t="str">
        <x:v>ANT (Kimi Antonelli) → LEC (Charles Leclerc)</x:v>
      </x:c>
      <x:c r="U125" s="105" t="str">
        <x:v>ANT (Kimi Antonelli) → LEC (Charles Leclerc): raised approximate per-asset strategy/risk utility by +4.0; projection +1.3 pts; forecast price change +0.2M; negative-P5 exposure +1.8; released $2.0M.</x:v>
      </x:c>
    </x:row>
    <x:row r="126" ht="52" customHeight="1">
      <x:c r="A126" s="101" t="str">
        <x:v>Budget Builder</x:v>
      </x:c>
      <x:c r="B126" s="101" t="str">
        <x:v>Maximum tolerance</x:v>
      </x:c>
      <x:c r="C126" s="101" t="n">
        <x:v>1</x:v>
      </x:c>
      <x:c r="D126" s="101" t="str">
        <x:v>Australian Grand Prix</x:v>
      </x:c>
      <x:c r="E126" s="101" t="str">
        <x:v>reconstructed</x:v>
      </x:c>
      <x:c r="F126" s="101" t="str"/>
      <x:c r="G126" s="102" t="n">
        <x:v>100</x:v>
      </x:c>
      <x:c r="H126" s="102" t="n">
        <x:v>92.2</x:v>
      </x:c>
      <x:c r="I126" s="102" t="n">
        <x:v>102.2</x:v>
      </x:c>
      <x:c r="J126" s="105" t="str">
        <x:v>RUS</x:v>
      </x:c>
      <x:c r="K126" s="105" t="str">
        <x:v>RUS, OCO, LIN, BOR, HUL</x:v>
      </x:c>
      <x:c r="L126" s="105" t="str">
        <x:v>Mercedes, Haas</x:v>
      </x:c>
      <x:c r="M126" s="106" t="n">
        <x:v>0</x:v>
      </x:c>
      <x:c r="N126" s="106" t="n">
        <x:v>0</x:v>
      </x:c>
      <x:c r="O126" s="106" t="n">
        <x:v>0</x:v>
      </x:c>
      <x:c r="P126" s="107" t="n">
        <x:v>226.5</x:v>
      </x:c>
      <x:c r="Q126" s="107" t="n">
        <x:v>2.8</x:v>
      </x:c>
      <x:c r="R126" s="107" t="n">
        <x:v>33.5</x:v>
      </x:c>
      <x:c r="S126" s="106" t="n">
        <x:v>225</x:v>
      </x:c>
      <x:c r="T126" s="105" t="str">
        <x:v>Initial selection</x:v>
      </x:c>
      <x:c r="U126" s="105" t="str">
        <x:v>Initial team selected by the manager philosophy and risk profile under the $100.0M cap.</x:v>
      </x:c>
    </x:row>
    <x:row r="127" ht="52" customHeight="1">
      <x:c r="A127" s="101" t="str">
        <x:v>Budget Builder</x:v>
      </x:c>
      <x:c r="B127" s="101" t="str">
        <x:v>Maximum tolerance</x:v>
      </x:c>
      <x:c r="C127" s="101" t="n">
        <x:v>2</x:v>
      </x:c>
      <x:c r="D127" s="101" t="str">
        <x:v>Chinese Grand Prix</x:v>
      </x:c>
      <x:c r="E127" s="101" t="str">
        <x:v>reconstructed</x:v>
      </x:c>
      <x:c r="F127" s="101" t="str"/>
      <x:c r="G127" s="102" t="n">
        <x:v>102.2</x:v>
      </x:c>
      <x:c r="H127" s="102" t="n">
        <x:v>91.6</x:v>
      </x:c>
      <x:c r="I127" s="102" t="n">
        <x:v>102.2</x:v>
      </x:c>
      <x:c r="J127" s="105" t="str">
        <x:v>ANT</x:v>
      </x:c>
      <x:c r="K127" s="105" t="str">
        <x:v>ANT, OCO, LIN, COL, BOR</x:v>
      </x:c>
      <x:c r="L127" s="105" t="str">
        <x:v>Mercedes, Haas</x:v>
      </x:c>
      <x:c r="M127" s="106" t="n">
        <x:v>2</x:v>
      </x:c>
      <x:c r="N127" s="106" t="n">
        <x:v>2</x:v>
      </x:c>
      <x:c r="O127" s="106" t="n">
        <x:v>0</x:v>
      </x:c>
      <x:c r="P127" s="107" t="n">
        <x:v>313.4</x:v>
      </x:c>
      <x:c r="Q127" s="107" t="n">
        <x:v>3.6</x:v>
      </x:c>
      <x:c r="R127" s="107" t="n">
        <x:v>26</x:v>
      </x:c>
      <x:c r="S127" s="106" t="n">
        <x:v>351</x:v>
      </x:c>
      <x:c r="T127" s="105" t="str">
        <x:v>HUL (Nico Hulkenberg) → COL (Franco Colapinto)
RUS (George Russell) → ANT (Kimi Antonelli)</x:v>
      </x:c>
      <x:c r="U127" s="105" t="str">
        <x:v>HUL (Nico Hulkenberg) → COL (Franco Colapinto): raised approximate per-asset strategy/risk utility by +27.5; projection +3.5 pts; forecast price change +1.2M; negative-P5 exposure -11.0; spent $1.4M more.
RUS (George Russell) → ANT (Kimi Antonelli): raised approximate per-asset strategy/risk utility by +2.7; projection +2.7 pts; released $4.2M; became the projected 2x captain.</x:v>
      </x:c>
    </x:row>
    <x:row r="128" ht="52" customHeight="1">
      <x:c r="A128" s="101" t="str">
        <x:v>Budget Builder</x:v>
      </x:c>
      <x:c r="B128" s="101" t="str">
        <x:v>Maximum tolerance</x:v>
      </x:c>
      <x:c r="C128" s="101" t="n">
        <x:v>3</x:v>
      </x:c>
      <x:c r="D128" s="101" t="str">
        <x:v>Japanese Grand Prix</x:v>
      </x:c>
      <x:c r="E128" s="101" t="str">
        <x:v>reconstructed</x:v>
      </x:c>
      <x:c r="F128" s="101" t="str"/>
      <x:c r="G128" s="102" t="n">
        <x:v>102.2</x:v>
      </x:c>
      <x:c r="H128" s="102" t="n">
        <x:v>91.6</x:v>
      </x:c>
      <x:c r="I128" s="102" t="n">
        <x:v>105.4</x:v>
      </x:c>
      <x:c r="J128" s="105" t="str">
        <x:v>ANT</x:v>
      </x:c>
      <x:c r="K128" s="105" t="str">
        <x:v>ANT, OCO, LIN, COL, PER</x:v>
      </x:c>
      <x:c r="L128" s="105" t="str">
        <x:v>Mercedes, Haas</x:v>
      </x:c>
      <x:c r="M128" s="106" t="n">
        <x:v>1</x:v>
      </x:c>
      <x:c r="N128" s="106" t="n">
        <x:v>1</x:v>
      </x:c>
      <x:c r="O128" s="106" t="n">
        <x:v>0</x:v>
      </x:c>
      <x:c r="P128" s="107" t="n">
        <x:v>227.8</x:v>
      </x:c>
      <x:c r="Q128" s="107" t="n">
        <x:v>3.6</x:v>
      </x:c>
      <x:c r="R128" s="107" t="n">
        <x:v>33.5</x:v>
      </x:c>
      <x:c r="S128" s="106" t="n">
        <x:v>206</x:v>
      </x:c>
      <x:c r="T128" s="105" t="str">
        <x:v>BOR (Gabriel Bortoleto) → PER (Sergio Perez)</x:v>
      </x:c>
      <x:c r="U128" s="105" t="str">
        <x:v>BOR (Gabriel Bortoleto) → PER (Sergio Perez): raised approximate per-asset strategy/risk utility by +18.5; gave up 5.5 projected pts; forecast price change +1.2M; negative-P5 exposure +16.0.</x:v>
      </x:c>
    </x:row>
    <x:row r="129" ht="52" customHeight="1">
      <x:c r="A129" s="101" t="str">
        <x:v>Budget Builder</x:v>
      </x:c>
      <x:c r="B129" s="101" t="str">
        <x:v>Maximum tolerance</x:v>
      </x:c>
      <x:c r="C129" s="101" t="n">
        <x:v>6</x:v>
      </x:c>
      <x:c r="D129" s="101" t="str">
        <x:v>Miami Grand Prix</x:v>
      </x:c>
      <x:c r="E129" s="101" t="str">
        <x:v>genuine</x:v>
      </x:c>
      <x:c r="F129" s="101" t="str">
        <x:v>wild card</x:v>
      </x:c>
      <x:c r="G129" s="102" t="n">
        <x:v>105.4</x:v>
      </x:c>
      <x:c r="H129" s="102" t="n">
        <x:v>104.3</x:v>
      </x:c>
      <x:c r="I129" s="102" t="n">
        <x:v>107.5</x:v>
      </x:c>
      <x:c r="J129" s="105" t="str">
        <x:v>ANT</x:v>
      </x:c>
      <x:c r="K129" s="105" t="str">
        <x:v>ANT, LEC, OCO, LIN, LAW</x:v>
      </x:c>
      <x:c r="L129" s="105" t="str">
        <x:v>Ferrari, Racing Bulls</x:v>
      </x:c>
      <x:c r="M129" s="106" t="n">
        <x:v>4</x:v>
      </x:c>
      <x:c r="N129" s="106" t="n">
        <x:v>1</x:v>
      </x:c>
      <x:c r="O129" s="106" t="n">
        <x:v>0</x:v>
      </x:c>
      <x:c r="P129" s="107" t="n">
        <x:v>378.5</x:v>
      </x:c>
      <x:c r="Q129" s="107" t="n">
        <x:v>3.3</x:v>
      </x:c>
      <x:c r="R129" s="107" t="n">
        <x:v>0</x:v>
      </x:c>
      <x:c r="S129" s="106" t="n">
        <x:v>168</x:v>
      </x:c>
      <x:c r="T129" s="105" t="str">
        <x:v>COL (Franco Colapinto) → LEC (Charles Leclerc)
PER (Sergio Perez) → LAW (Liam Lawson)
Haas → Racing Bulls
Mercedes → Ferrari</x:v>
      </x:c>
      <x:c r="U129" s="105" t="str">
        <x:v>COL (Franco Colapinto) → LEC (Charles Leclerc): Wild Card made the permanent rebuild free; Forecasted competitive-order change called for 4 lineup changes and a 31.0-utility improvement; this is the upgrade/order-shift proxy.; raised approximate per-asset strategy/risk utility by +29.2; projection +35.2 pts; forecast price change -0.3M; negative-P5 exposure -5.0; spent $16.1M more.
PER (Sergio Perez) → LAW (Liam Lawson): Wild Card made the permanent rebuild free; Forecasted competitive-order change called for 4 lineup changes and a 31.0-utility improvement; this is the upgrade/order-shift proxy.; raised approximate per-asset strategy/risk utility by +17.9; projection +17.9 pts; negative-P5 exposure -18.0; spent $0.5M more.
Haas → Racing Bulls: Wild Card made the permanent rebuild free; Forecasted competitive-order change called for 4 lineup changes and a 31.0-utility improvement; this is the upgrade/order-shift proxy.; raised approximate per-asset strategy/risk utility by +11.4; projection +11.4 pts; released $1.1M.
Mercedes → Ferrari: Wild Card made the permanent rebuild free; Forecasted competitive-order change called for 4 lineup changes and a 31.0-utility improvement; this is the upgrade/order-shift proxy.; was -8.2 utility on this explanatory pairing but enabled the higher-utility seven-asset lineup; gave up 8.2 projected pts; released $6.0M.</x:v>
      </x:c>
    </x:row>
    <x:row r="130" ht="52" customHeight="1">
      <x:c r="A130" s="101" t="str">
        <x:v>Budget Builder</x:v>
      </x:c>
      <x:c r="B130" s="101" t="str">
        <x:v>Maximum tolerance</x:v>
      </x:c>
      <x:c r="C130" s="101" t="n">
        <x:v>7</x:v>
      </x:c>
      <x:c r="D130" s="101" t="str">
        <x:v>Canadian Grand Prix</x:v>
      </x:c>
      <x:c r="E130" s="101" t="str">
        <x:v>genuine</x:v>
      </x:c>
      <x:c r="F130" s="101" t="str"/>
      <x:c r="G130" s="102" t="n">
        <x:v>107.5</x:v>
      </x:c>
      <x:c r="H130" s="102" t="n">
        <x:v>107.1</x:v>
      </x:c>
      <x:c r="I130" s="102" t="n">
        <x:v>109</x:v>
      </x:c>
      <x:c r="J130" s="105" t="str">
        <x:v>ANT</x:v>
      </x:c>
      <x:c r="K130" s="105" t="str">
        <x:v>ANT, LEC, OCO, COL, PER</x:v>
      </x:c>
      <x:c r="L130" s="105" t="str">
        <x:v>Ferrari, Racing Bulls</x:v>
      </x:c>
      <x:c r="M130" s="106" t="n">
        <x:v>2</x:v>
      </x:c>
      <x:c r="N130" s="106" t="n">
        <x:v>2</x:v>
      </x:c>
      <x:c r="O130" s="106" t="n">
        <x:v>0</x:v>
      </x:c>
      <x:c r="P130" s="107" t="n">
        <x:v>293.9</x:v>
      </x:c>
      <x:c r="Q130" s="107" t="n">
        <x:v>3.3</x:v>
      </x:c>
      <x:c r="R130" s="107" t="n">
        <x:v>25</x:v>
      </x:c>
      <x:c r="S130" s="106" t="n">
        <x:v>264</x:v>
      </x:c>
      <x:c r="T130" s="105" t="str">
        <x:v>LAW (Liam Lawson) → COL (Franco Colapinto)
LIN (Arvid Lindblad) → PER (Sergio Perez)</x:v>
      </x:c>
      <x:c r="U130" s="105" t="str">
        <x:v>LAW (Liam Lawson) → COL (Franco Colapinto): raised approximate per-asset strategy/risk utility by +24.8; projection +0.8 pts; forecast price change +1.2M; negative-P5 exposure -10.0; spent $0.1M more.
LIN (Arvid Lindblad) → PER (Sergio Perez): raised approximate per-asset strategy/risk utility by +25.4; projection +1.4 pts; forecast price change +1.2M; negative-P5 exposure +7.0; spent $0.6M more.</x:v>
      </x:c>
    </x:row>
    <x:row r="131" ht="52" customHeight="1">
      <x:c r="A131" s="101" t="str">
        <x:v>Budget Builder</x:v>
      </x:c>
      <x:c r="B131" s="101" t="str">
        <x:v>Maximum tolerance</x:v>
      </x:c>
      <x:c r="C131" s="101" t="n">
        <x:v>8</x:v>
      </x:c>
      <x:c r="D131" s="101" t="str">
        <x:v>Monaco Grand Prix</x:v>
      </x:c>
      <x:c r="E131" s="101" t="str">
        <x:v>genuine</x:v>
      </x:c>
      <x:c r="F131" s="101" t="str">
        <x:v>limitless</x:v>
      </x:c>
      <x:c r="G131" s="102" t="n">
        <x:v>109</x:v>
      </x:c>
      <x:c r="H131" s="102" t="n">
        <x:v>184.9</x:v>
      </x:c>
      <x:c r="I131" s="102" t="n">
        <x:v>110.5</x:v>
      </x:c>
      <x:c r="J131" s="105" t="str">
        <x:v>LEC</x:v>
      </x:c>
      <x:c r="K131" s="105" t="str">
        <x:v>RUS, VER, ANT, LEC, HAM</x:v>
      </x:c>
      <x:c r="L131" s="105" t="str">
        <x:v>Mercedes, Ferrari</x:v>
      </x:c>
      <x:c r="M131" s="106" t="n">
        <x:v>0</x:v>
      </x:c>
      <x:c r="N131" s="106" t="n">
        <x:v>1</x:v>
      </x:c>
      <x:c r="O131" s="106" t="n">
        <x:v>0</x:v>
      </x:c>
      <x:c r="P131" s="107" t="n">
        <x:v>311.9</x:v>
      </x:c>
      <x:c r="Q131" s="107" t="n">
        <x:v>1.5</x:v>
      </x:c>
      <x:c r="R131" s="107" t="n">
        <x:v>12</x:v>
      </x:c>
      <x:c r="S131" s="106" t="n">
        <x:v>144</x:v>
      </x:c>
      <x:c r="T131" s="105" t="str">
        <x:v>Temporary Limitless lineup; owned team reverted</x:v>
      </x:c>
      <x:c r="U131" s="105" t="str">
        <x:v>Limitless temporarily added HAM (Lewis Hamilton), RUS (George Russell), VER (Max Verstappen), Mercedes. Most qualifying-dependent completed circuit: 10/10 overtaking difficulty, where an unrestricted premium lineup should create the largest advantage over budget-constrained teams. The owned team reverted after the round.</x:v>
      </x:c>
    </x:row>
    <x:row r="132" ht="52" customHeight="1">
      <x:c r="A132" s="101" t="str">
        <x:v>Budget Builder</x:v>
      </x:c>
      <x:c r="B132" s="101" t="str">
        <x:v>Maximum tolerance</x:v>
      </x:c>
      <x:c r="C132" s="101" t="n">
        <x:v>9</x:v>
      </x:c>
      <x:c r="D132" s="101" t="str">
        <x:v>Spanish Grand Prix</x:v>
      </x:c>
      <x:c r="E132" s="101" t="str">
        <x:v>genuine</x:v>
      </x:c>
      <x:c r="F132" s="101" t="str"/>
      <x:c r="G132" s="102" t="n">
        <x:v>110.5</x:v>
      </x:c>
      <x:c r="H132" s="102" t="n">
        <x:v>110.4</x:v>
      </x:c>
      <x:c r="I132" s="102" t="n">
        <x:v>112.6</x:v>
      </x:c>
      <x:c r="J132" s="105" t="str">
        <x:v>ANT</x:v>
      </x:c>
      <x:c r="K132" s="105" t="str">
        <x:v>ANT, OCO, COL, LAW, HUL</x:v>
      </x:c>
      <x:c r="L132" s="105" t="str">
        <x:v>McLaren, Ferrari</x:v>
      </x:c>
      <x:c r="M132" s="106" t="n">
        <x:v>3</x:v>
      </x:c>
      <x:c r="N132" s="106" t="n">
        <x:v>2</x:v>
      </x:c>
      <x:c r="O132" s="106" t="n">
        <x:v>10</x:v>
      </x:c>
      <x:c r="P132" s="107" t="n">
        <x:v>216.8</x:v>
      </x:c>
      <x:c r="Q132" s="107" t="n">
        <x:v>1.7</x:v>
      </x:c>
      <x:c r="R132" s="107" t="n">
        <x:v>28</x:v>
      </x:c>
      <x:c r="S132" s="106" t="n">
        <x:v>118</x:v>
      </x:c>
      <x:c r="T132" s="105" t="str">
        <x:v>LEC (Charles Leclerc) → LAW (Liam Lawson)
PER (Sergio Perez) → HUL (Nico Hulkenberg)
Racing Bulls → McLaren</x:v>
      </x:c>
      <x:c r="U132" s="105" t="str">
        <x:v>LEC (Charles Leclerc) → LAW (Liam Lawson): was -3.4 utility on this explanatory pairing but enabled the higher-utility seven-asset lineup; gave up 21.4 projected pts; forecast price change +0.9M; negative-P5 exposure +6.0; released $15.7M.
PER (Sergio Perez) → HUL (Nico Hulkenberg): raised approximate per-asset strategy/risk utility by +9.2; projection +1.2 pts; forecast price change +0.4M; released $3.6M.
Racing Bulls → McLaren: raised approximate per-asset strategy/risk utility by +40.2; projection +46.2 pts; forecast price change -0.3M; spent $19.6M more.</x:v>
      </x:c>
    </x:row>
    <x:row r="133" ht="52" customHeight="1">
      <x:c r="A133" s="101" t="str">
        <x:v>Budget Builder</x:v>
      </x:c>
      <x:c r="B133" s="101" t="str">
        <x:v>Maximum tolerance</x:v>
      </x:c>
      <x:c r="C133" s="101" t="n">
        <x:v>10</x:v>
      </x:c>
      <x:c r="D133" s="101" t="str">
        <x:v>Austrian Grand Prix</x:v>
      </x:c>
      <x:c r="E133" s="101" t="str">
        <x:v>genuine</x:v>
      </x:c>
      <x:c r="F133" s="101" t="str">
        <x:v>no negative</x:v>
      </x:c>
      <x:c r="G133" s="102" t="n">
        <x:v>112.6</x:v>
      </x:c>
      <x:c r="H133" s="102" t="n">
        <x:v>109.7</x:v>
      </x:c>
      <x:c r="I133" s="102" t="n">
        <x:v>113.9</x:v>
      </x:c>
      <x:c r="J133" s="105" t="str">
        <x:v>ANT</x:v>
      </x:c>
      <x:c r="K133" s="105" t="str">
        <x:v>ANT, OCO, LIN, LAW, HUL</x:v>
      </x:c>
      <x:c r="L133" s="105" t="str">
        <x:v>Mercedes, Ferrari</x:v>
      </x:c>
      <x:c r="M133" s="106" t="n">
        <x:v>2</x:v>
      </x:c>
      <x:c r="N133" s="106" t="n">
        <x:v>1</x:v>
      </x:c>
      <x:c r="O133" s="106" t="n">
        <x:v>10</x:v>
      </x:c>
      <x:c r="P133" s="107" t="n">
        <x:v>208.2</x:v>
      </x:c>
      <x:c r="Q133" s="107" t="n">
        <x:v>1.3</x:v>
      </x:c>
      <x:c r="R133" s="107" t="n">
        <x:v>64.4</x:v>
      </x:c>
      <x:c r="S133" s="106" t="n">
        <x:v>226</x:v>
      </x:c>
      <x:c r="T133" s="105" t="str">
        <x:v>COL (Franco Colapinto) → LIN (Arvid Lindblad)
McLaren → Mercedes</x:v>
      </x:c>
      <x:c r="U133" s="105" t="str">
        <x:v>COL (Franco Colapinto) → LIN (Arvid Lindblad): raised approximate per-asset strategy/risk utility by +24.8; projection +0.8 pts; forecast price change +1.2M; negative-P5 exposure -1.0; released $4.4M.
McLaren → Mercedes: raised approximate per-asset strategy/risk utility by +25.8; projection +25.8 pts; spent $1.6M more.
No Negative: Highest combined pre-race attrition signal after accounting for field DNF probability (18.5%), weather DNF multiplier (1.10x), and rain risk (LOW).</x:v>
      </x:c>
    </x:row>
    <x:row r="134" ht="52" customHeight="1">
      <x:c r="A134" s="101" t="str">
        <x:v>Budget Builder</x:v>
      </x:c>
      <x:c r="B134" s="101" t="str">
        <x:v>Maximum tolerance</x:v>
      </x:c>
      <x:c r="C134" s="101" t="n">
        <x:v>11</x:v>
      </x:c>
      <x:c r="D134" s="101" t="str">
        <x:v>British Grand Prix</x:v>
      </x:c>
      <x:c r="E134" s="101" t="str">
        <x:v>genuine</x:v>
      </x:c>
      <x:c r="F134" s="101" t="str"/>
      <x:c r="G134" s="102" t="n">
        <x:v>113.9</x:v>
      </x:c>
      <x:c r="H134" s="102" t="n">
        <x:v>113.9</x:v>
      </x:c>
      <x:c r="I134" s="102" t="n">
        <x:v>116.2</x:v>
      </x:c>
      <x:c r="J134" s="105" t="str">
        <x:v>HAM</x:v>
      </x:c>
      <x:c r="K134" s="105" t="str">
        <x:v>HAM, HAD, OCO, LIN, HUL</x:v>
      </x:c>
      <x:c r="L134" s="105" t="str">
        <x:v>Mercedes, Ferrari</x:v>
      </x:c>
      <x:c r="M134" s="106" t="n">
        <x:v>2</x:v>
      </x:c>
      <x:c r="N134" s="106" t="n">
        <x:v>1</x:v>
      </x:c>
      <x:c r="O134" s="106" t="n">
        <x:v>10</x:v>
      </x:c>
      <x:c r="P134" s="107" t="n">
        <x:v>247.2</x:v>
      </x:c>
      <x:c r="Q134" s="107" t="n">
        <x:v>1.9</x:v>
      </x:c>
      <x:c r="R134" s="107" t="n">
        <x:v>56.7</x:v>
      </x:c>
      <x:c r="S134" s="106" t="n">
        <x:v>293</x:v>
      </x:c>
      <x:c r="T134" s="105" t="str">
        <x:v>ANT (Kimi Antonelli) → HAM (Lewis Hamilton)
LAW (Liam Lawson) → HAD (Isack Hadjar)</x:v>
      </x:c>
      <x:c r="U134" s="105" t="str">
        <x:v>ANT (Kimi Antonelli) → HAM (Lewis Hamilton): raised approximate per-asset strategy/risk utility by +7.0; gave up 1.0 projected pts; forecast price change +0.4M; negative-P5 exposure +2.0; released $0.9M; became the projected 2x captain.
LAW (Liam Lawson) → HAD (Isack Hadjar): raised approximate per-asset strategy/risk utility by +22.2; projection +6.2 pts; forecast price change +0.8M; negative-P5 exposure -0.8; spent $3.8M more.</x:v>
      </x:c>
    </x:row>
    <x:row r="135" ht="52" customHeight="1">
      <x:c r="A135" s="101" t="str">
        <x:v>Budget Builder</x:v>
      </x:c>
      <x:c r="B135" s="101" t="str">
        <x:v>Maximum tolerance</x:v>
      </x:c>
      <x:c r="C135" s="101" t="n">
        <x:v>12</x:v>
      </x:c>
      <x:c r="D135" s="101" t="str">
        <x:v>Belgian Grand Prix</x:v>
      </x:c>
      <x:c r="E135" s="101" t="str">
        <x:v>genuine</x:v>
      </x:c>
      <x:c r="F135" s="101" t="str">
        <x:v>autopilot</x:v>
      </x:c>
      <x:c r="G135" s="102" t="n">
        <x:v>116.2</x:v>
      </x:c>
      <x:c r="H135" s="102" t="n">
        <x:v>114.5</x:v>
      </x:c>
      <x:c r="I135" s="102" t="n">
        <x:v>118.3</x:v>
      </x:c>
      <x:c r="J135" s="105" t="str">
        <x:v>HAD</x:v>
      </x:c>
      <x:c r="K135" s="105" t="str">
        <x:v>HAM, HAD, OCO, LIN, HUL</x:v>
      </x:c>
      <x:c r="L135" s="105" t="str">
        <x:v>Red Bull, Ferrari</x:v>
      </x:c>
      <x:c r="M135" s="106" t="n">
        <x:v>1</x:v>
      </x:c>
      <x:c r="N135" s="106" t="n">
        <x:v>1</x:v>
      </x:c>
      <x:c r="O135" s="106" t="n">
        <x:v>0</x:v>
      </x:c>
      <x:c r="P135" s="107" t="n">
        <x:v>221.4</x:v>
      </x:c>
      <x:c r="Q135" s="107" t="n">
        <x:v>2.1</x:v>
      </x:c>
      <x:c r="R135" s="107" t="n">
        <x:v>71.6</x:v>
      </x:c>
      <x:c r="S135" s="106" t="n">
        <x:v>263</x:v>
      </x:c>
      <x:c r="T135" s="105" t="str">
        <x:v>Mercedes → Red Bull</x:v>
      </x:c>
      <x:c r="U135" s="105" t="str">
        <x:v>Mercedes → Red Bull: raised approximate per-asset strategy/risk utility by +9.3; projection +9.3 pts; released $1.7M.
Autopilot: Greatest remaining forecast uncertainty between captain candidates.</x:v>
      </x:c>
    </x:row>
    <x:row r="136" ht="52" customHeight="1">
      <x:c r="A136" s="101" t="str">
        <x:v>Budget Builder</x:v>
      </x:c>
      <x:c r="B136" s="101" t="str">
        <x:v>Maximum tolerance</x:v>
      </x:c>
      <x:c r="C136" s="101" t="n">
        <x:v>13</x:v>
      </x:c>
      <x:c r="D136" s="101" t="str">
        <x:v>Hungarian Grand Prix</x:v>
      </x:c>
      <x:c r="E136" s="101" t="str">
        <x:v>genuine</x:v>
      </x:c>
      <x:c r="F136" s="101" t="str"/>
      <x:c r="G136" s="102" t="n">
        <x:v>118.3</x:v>
      </x:c>
      <x:c r="H136" s="102" t="n">
        <x:v>116.7</x:v>
      </x:c>
      <x:c r="I136" s="102" t="n">
        <x:v>120.3</x:v>
      </x:c>
      <x:c r="J136" s="105" t="str">
        <x:v>HAM</x:v>
      </x:c>
      <x:c r="K136" s="105" t="str">
        <x:v>HAM, HAD, OCO, LIN, HUL</x:v>
      </x:c>
      <x:c r="L136" s="105" t="str">
        <x:v>McLaren, Ferrari</x:v>
      </x:c>
      <x:c r="M136" s="106" t="n">
        <x:v>1</x:v>
      </x:c>
      <x:c r="N136" s="106" t="n">
        <x:v>1</x:v>
      </x:c>
      <x:c r="O136" s="106" t="n">
        <x:v>0</x:v>
      </x:c>
      <x:c r="P136" s="107" t="n">
        <x:v>183.3</x:v>
      </x:c>
      <x:c r="Q136" s="107" t="n">
        <x:v>1.3</x:v>
      </x:c>
      <x:c r="R136" s="107" t="n">
        <x:v>68.9</x:v>
      </x:c>
      <x:c r="S136" s="106" t="n">
        <x:v>191</x:v>
      </x:c>
      <x:c r="T136" s="105" t="str">
        <x:v>Red Bull → McLaren</x:v>
      </x:c>
      <x:c r="U136" s="105" t="str">
        <x:v>Red Bull → McLaren: raised approximate per-asset strategy/risk utility by +20.7; projection +20.7 pts; spent $0.1M more.</x:v>
      </x:c>
    </x:row>
  </x:sheetData>
  <x:mergeCells>
    <x:mergeCell ref="A1:U1"/>
    <x:mergeCell ref="A2:U2"/>
  </x:mergeCells>
  <x:conditionalFormatting sqref="S5:S136">
    <x:cfRule type="colorScale" priority="1">
      <x:colorScale>
        <x:cfvo type="min"/>
        <x:cfvo type="percentile" val="50"/>
        <x:cfvo type="max"/>
        <x:color rgb="FFFBE2E0"/>
        <x:color rgb="FFFFF4CC"/>
        <x:color rgb="FFDDF4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7eab7c3d254a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8" hidden="0" customWidth="1"/>
    <x:col min="4" max="4" width="24" hidden="0" customWidth="1"/>
    <x:col min="5" max="5" width="13" hidden="0" customWidth="1"/>
    <x:col min="6" max="6" width="16" hidden="0" customWidth="1"/>
    <x:col min="7" max="7" width="12" hidden="0" customWidth="1"/>
    <x:col min="8" max="8" width="13" hidden="0" customWidth="1"/>
    <x:col min="9" max="9" width="13" hidden="0" customWidth="1"/>
    <x:col min="10" max="10" width="11" hidden="0" customWidth="1"/>
    <x:col min="11" max="11" width="11" hidden="0" customWidth="1"/>
    <x:col min="12" max="12" width="10" hidden="0" customWidth="1"/>
    <x:col min="13" max="13" width="14" hidden="0" customWidth="1"/>
    <x:col min="14" max="14" width="14" hidden="0" customWidth="1"/>
    <x:col min="15" max="15" width="12" hidden="0" customWidth="1"/>
    <x:col min="16" max="16" width="15" hidden="0" customWidth="1"/>
    <x:col min="17" max="17" width="15" hidden="0" customWidth="1"/>
    <x:col min="18" max="18" width="16" hidden="0" customWidth="1"/>
    <x:col min="19" max="19" width="10" hidden="0" customWidth="1"/>
    <x:col min="20" max="20" width="10" hidden="0" customWidth="1"/>
    <x:col min="21" max="21" width="17" hidden="0" customWidth="1"/>
    <x:col min="22" max="22" width="14" hidden="0" customWidth="1"/>
    <x:col min="23" max="23" width="12" hidden="0" customWidth="1"/>
    <x:col min="24" max="24" width="85" hidden="0" customWidth="1"/>
  </x:cols>
  <x:sheetData>
    <x:row r="1" ht="30" customHeight="1">
      <x:c r="A1" s="4" t="str">
        <x:v>Transfer ledger — all 214 persistent asset changes</x:v>
      </x:c>
      <x:c r="B1" s="4" t="str">
        <x:v>Transfer ledger — all 214 persistent asset changes</x:v>
      </x:c>
      <x:c r="C1" s="4" t="str">
        <x:v>Transfer ledger — all 214 persistent asset changes</x:v>
      </x:c>
      <x:c r="D1" s="4" t="str">
        <x:v>Transfer ledger — all 214 persistent asset changes</x:v>
      </x:c>
      <x:c r="E1" s="4" t="str">
        <x:v>Transfer ledger — all 214 persistent asset changes</x:v>
      </x:c>
      <x:c r="F1" s="4" t="str">
        <x:v>Transfer ledger — all 214 persistent asset changes</x:v>
      </x:c>
      <x:c r="G1" s="4" t="str">
        <x:v>Transfer ledger — all 214 persistent asset changes</x:v>
      </x:c>
      <x:c r="H1" s="4" t="str">
        <x:v>Transfer ledger — all 214 persistent asset changes</x:v>
      </x:c>
      <x:c r="I1" s="4" t="str">
        <x:v>Transfer ledger — all 214 persistent asset changes</x:v>
      </x:c>
      <x:c r="J1" s="4" t="str">
        <x:v>Transfer ledger — all 214 persistent asset changes</x:v>
      </x:c>
      <x:c r="K1" s="4" t="str">
        <x:v>Transfer ledger — all 214 persistent asset changes</x:v>
      </x:c>
      <x:c r="L1" s="4" t="str">
        <x:v>Transfer ledger — all 214 persistent asset changes</x:v>
      </x:c>
      <x:c r="M1" s="4" t="str">
        <x:v>Transfer ledger — all 214 persistent asset changes</x:v>
      </x:c>
      <x:c r="N1" s="4" t="str">
        <x:v>Transfer ledger — all 214 persistent asset changes</x:v>
      </x:c>
      <x:c r="O1" s="4" t="str">
        <x:v>Transfer ledger — all 214 persistent asset changes</x:v>
      </x:c>
      <x:c r="P1" s="4" t="str">
        <x:v>Transfer ledger — all 214 persistent asset changes</x:v>
      </x:c>
      <x:c r="Q1" s="4" t="str">
        <x:v>Transfer ledger — all 214 persistent asset changes</x:v>
      </x:c>
      <x:c r="R1" s="4" t="str">
        <x:v>Transfer ledger — all 214 persistent asset changes</x:v>
      </x:c>
      <x:c r="S1" s="4" t="str">
        <x:v>Transfer ledger — all 214 persistent asset changes</x:v>
      </x:c>
      <x:c r="T1" s="4" t="str">
        <x:v>Transfer ledger — all 214 persistent asset changes</x:v>
      </x:c>
      <x:c r="U1" s="4" t="str">
        <x:v>Transfer ledger — all 214 persistent asset changes</x:v>
      </x:c>
      <x:c r="V1" s="4" t="str">
        <x:v>Transfer ledger — all 214 persistent asset changes</x:v>
      </x:c>
      <x:c r="W1" s="4" t="str">
        <x:v>Transfer ledger — all 214 persistent asset changes</x:v>
      </x:c>
      <x:c r="X1" s="4" t="str">
        <x:v>Transfer ledger — all 214 persistent asset changes</x:v>
      </x:c>
    </x:row>
    <x:row r="2">
      <x:c r="A2" s="13" t="str">
        <x:v>Multi-asset moves are paired by price proximity for explanation. The simulator optimises the entire seven-asset lineup jointly.</x:v>
      </x:c>
      <x:c r="B2" s="14" t="str">
        <x:v>Multi-asset moves are paired by price proximity for explanation. The simulator optimises the entire seven-asset lineup jointly.</x:v>
      </x:c>
      <x:c r="C2" s="14" t="str">
        <x:v>Multi-asset moves are paired by price proximity for explanation. The simulator optimises the entire seven-asset lineup jointly.</x:v>
      </x:c>
      <x:c r="D2" s="14" t="str">
        <x:v>Multi-asset moves are paired by price proximity for explanation. The simulator optimises the entire seven-asset lineup jointly.</x:v>
      </x:c>
      <x:c r="E2" s="14" t="str">
        <x:v>Multi-asset moves are paired by price proximity for explanation. The simulator optimises the entire seven-asset lineup jointly.</x:v>
      </x:c>
      <x:c r="F2" s="14" t="str">
        <x:v>Multi-asset moves are paired by price proximity for explanation. The simulator optimises the entire seven-asset lineup jointly.</x:v>
      </x:c>
      <x:c r="G2" s="14" t="str">
        <x:v>Multi-asset moves are paired by price proximity for explanation. The simulator optimises the entire seven-asset lineup jointly.</x:v>
      </x:c>
      <x:c r="H2" s="14" t="str">
        <x:v>Multi-asset moves are paired by price proximity for explanation. The simulator optimises the entire seven-asset lineup jointly.</x:v>
      </x:c>
      <x:c r="I2" s="14" t="str">
        <x:v>Multi-asset moves are paired by price proximity for explanation. The simulator optimises the entire seven-asset lineup jointly.</x:v>
      </x:c>
      <x:c r="J2" s="14" t="str">
        <x:v>Multi-asset moves are paired by price proximity for explanation. The simulator optimises the entire seven-asset lineup jointly.</x:v>
      </x:c>
      <x:c r="K2" s="14" t="str">
        <x:v>Multi-asset moves are paired by price proximity for explanation. The simulator optimises the entire seven-asset lineup jointly.</x:v>
      </x:c>
      <x:c r="L2" s="14" t="str">
        <x:v>Multi-asset moves are paired by price proximity for explanation. The simulator optimises the entire seven-asset lineup jointly.</x:v>
      </x:c>
      <x:c r="M2" s="14" t="str">
        <x:v>Multi-asset moves are paired by price proximity for explanation. The simulator optimises the entire seven-asset lineup jointly.</x:v>
      </x:c>
      <x:c r="N2" s="14" t="str">
        <x:v>Multi-asset moves are paired by price proximity for explanation. The simulator optimises the entire seven-asset lineup jointly.</x:v>
      </x:c>
      <x:c r="O2" s="14" t="str">
        <x:v>Multi-asset moves are paired by price proximity for explanation. The simulator optimises the entire seven-asset lineup jointly.</x:v>
      </x:c>
      <x:c r="P2" s="14" t="str">
        <x:v>Multi-asset moves are paired by price proximity for explanation. The simulator optimises the entire seven-asset lineup jointly.</x:v>
      </x:c>
      <x:c r="Q2" s="14" t="str">
        <x:v>Multi-asset moves are paired by price proximity for explanation. The simulator optimises the entire seven-asset lineup jointly.</x:v>
      </x:c>
      <x:c r="R2" s="14" t="str">
        <x:v>Multi-asset moves are paired by price proximity for explanation. The simulator optimises the entire seven-asset lineup jointly.</x:v>
      </x:c>
      <x:c r="S2" s="14" t="str">
        <x:v>Multi-asset moves are paired by price proximity for explanation. The simulator optimises the entire seven-asset lineup jointly.</x:v>
      </x:c>
      <x:c r="T2" s="14" t="str">
        <x:v>Multi-asset moves are paired by price proximity for explanation. The simulator optimises the entire seven-asset lineup jointly.</x:v>
      </x:c>
      <x:c r="U2" s="14" t="str">
        <x:v>Multi-asset moves are paired by price proximity for explanation. The simulator optimises the entire seven-asset lineup jointly.</x:v>
      </x:c>
      <x:c r="V2" s="14" t="str">
        <x:v>Multi-asset moves are paired by price proximity for explanation. The simulator optimises the entire seven-asset lineup jointly.</x:v>
      </x:c>
      <x:c r="W2" s="14" t="str">
        <x:v>Multi-asset moves are paired by price proximity for explanation. The simulator optimises the entire seven-asset lineup jointly.</x:v>
      </x:c>
      <x:c r="X2" s="15" t="str">
        <x:v>Multi-asset moves are paired by price proximity for explanation. The simulator optimises the entire seven-asset lineup jointly.</x:v>
      </x:c>
    </x:row>
    <x:row r="4" ht="30" customHeight="1">
      <x:c r="A4" s="81" t="str">
        <x:v>Manager</x:v>
      </x:c>
      <x:c r="B4" s="81" t="str">
        <x:v>Risk profile</x:v>
      </x:c>
      <x:c r="C4" s="81" t="str">
        <x:v>Round</x:v>
      </x:c>
      <x:c r="D4" s="81" t="str">
        <x:v>Weekend</x:v>
      </x:c>
      <x:c r="E4" s="81" t="str">
        <x:v>Archive</x:v>
      </x:c>
      <x:c r="F4" s="81" t="str">
        <x:v>Chip</x:v>
      </x:c>
      <x:c r="G4" s="81" t="str">
        <x:v>Asset type</x:v>
      </x:c>
      <x:c r="H4" s="81" t="str">
        <x:v>Outgoing</x:v>
      </x:c>
      <x:c r="I4" s="81" t="str">
        <x:v>Incoming</x:v>
      </x:c>
      <x:c r="J4" s="81" t="str">
        <x:v>Old price</x:v>
      </x:c>
      <x:c r="K4" s="81" t="str">
        <x:v>New price</x:v>
      </x:c>
      <x:c r="L4" s="81" t="str">
        <x:v>Price Δ</x:v>
      </x:c>
      <x:c r="M4" s="81" t="str">
        <x:v>Old projected pts</x:v>
      </x:c>
      <x:c r="N4" s="81" t="str">
        <x:v>New projected pts</x:v>
      </x:c>
      <x:c r="O4" s="81" t="str">
        <x:v>Projection Δ</x:v>
      </x:c>
      <x:c r="P4" s="81" t="str">
        <x:v>Old forecast price Δ</x:v>
      </x:c>
      <x:c r="Q4" s="81" t="str">
        <x:v>New forecast price Δ</x:v>
      </x:c>
      <x:c r="R4" s="81" t="str">
        <x:v>Forecast price Δ change</x:v>
      </x:c>
      <x:c r="S4" s="81" t="str">
        <x:v>Old P5</x:v>
      </x:c>
      <x:c r="T4" s="81" t="str">
        <x:v>New P5</x:v>
      </x:c>
      <x:c r="U4" s="81" t="str">
        <x:v>Negative-P5 exposure Δ</x:v>
      </x:c>
      <x:c r="V4" s="81" t="str">
        <x:v>Approx utility Δ</x:v>
      </x:c>
      <x:c r="W4" s="81" t="str">
        <x:v>Lineup penalty</x:v>
      </x:c>
      <x:c r="X4" s="81" t="str">
        <x:v>Reason</x:v>
      </x:c>
    </x:row>
    <x:row r="5" ht="44" customHeight="1">
      <x:c r="A5" s="101" t="str">
        <x:v>Max Points</x:v>
      </x:c>
      <x:c r="B5" s="101" t="str">
        <x:v>Total avoidance</x:v>
      </x:c>
      <x:c r="C5" s="101" t="n">
        <x:v>2</x:v>
      </x:c>
      <x:c r="D5" s="101" t="str">
        <x:v>Chinese Grand Prix</x:v>
      </x:c>
      <x:c r="E5" s="101" t="str">
        <x:v>reconstructed</x:v>
      </x:c>
      <x:c r="F5" s="101" t="str"/>
      <x:c r="G5" s="101" t="str">
        <x:v>driver</x:v>
      </x:c>
      <x:c r="H5" s="101" t="str">
        <x:v>BOR</x:v>
      </x:c>
      <x:c r="I5" s="101" t="str">
        <x:v>HAM</x:v>
      </x:c>
      <x:c r="J5" s="102" t="n">
        <x:v>6.4</x:v>
      </x:c>
      <x:c r="K5" s="102" t="n">
        <x:v>22.9</x:v>
      </x:c>
      <x:c r="L5" s="102" t="n">
        <x:v>16.5</x:v>
      </x:c>
      <x:c r="M5" s="104" t="n">
        <x:v>12.1</x:v>
      </x:c>
      <x:c r="N5" s="104" t="n">
        <x:v>25</x:v>
      </x:c>
      <x:c r="O5" s="104" t="n">
        <x:v>12.9</x:v>
      </x:c>
      <x:c r="P5" s="104" t="n">
        <x:v>0.6</x:v>
      </x:c>
      <x:c r="Q5" s="104" t="n">
        <x:v>0.1</x:v>
      </x:c>
      <x:c r="R5" s="104" t="n">
        <x:v>-0.5</x:v>
      </x:c>
      <x:c r="S5" s="104" t="n">
        <x:v>-9</x:v>
      </x:c>
      <x:c r="T5" s="104" t="n">
        <x:v>3</x:v>
      </x:c>
      <x:c r="U5" s="104" t="n">
        <x:v>-9</x:v>
      </x:c>
      <x:c r="V5" s="104"/>
      <x:c r="W5" s="103" t="n">
        <x:v>10</x:v>
      </x:c>
      <x:c r="X5" s="105" t="str">
        <x:v>cut negative-P5 exposure by 9.0, the profile's first priority; projection +12.9 pts; forecast price change -0.5M; negative-P5 exposure -9.0; spent $16.5M more.</x:v>
      </x:c>
    </x:row>
    <x:row r="6" ht="44" customHeight="1">
      <x:c r="A6" s="101" t="str">
        <x:v>Max Points</x:v>
      </x:c>
      <x:c r="B6" s="101" t="str">
        <x:v>Total avoidance</x:v>
      </x:c>
      <x:c r="C6" s="101" t="n">
        <x:v>2</x:v>
      </x:c>
      <x:c r="D6" s="101" t="str">
        <x:v>Chinese Grand Prix</x:v>
      </x:c>
      <x:c r="E6" s="101" t="str">
        <x:v>reconstructed</x:v>
      </x:c>
      <x:c r="F6" s="101" t="str"/>
      <x:c r="G6" s="101" t="str">
        <x:v>driver</x:v>
      </x:c>
      <x:c r="H6" s="101" t="str">
        <x:v>RUS</x:v>
      </x:c>
      <x:c r="I6" s="101" t="str">
        <x:v>ANT</x:v>
      </x:c>
      <x:c r="J6" s="102" t="n">
        <x:v>28</x:v>
      </x:c>
      <x:c r="K6" s="102" t="n">
        <x:v>23.8</x:v>
      </x:c>
      <x:c r="L6" s="102" t="n">
        <x:v>-4.2</x:v>
      </x:c>
      <x:c r="M6" s="104" t="n">
        <x:v>45.5</x:v>
      </x:c>
      <x:c r="N6" s="104" t="n">
        <x:v>48.2</x:v>
      </x:c>
      <x:c r="O6" s="104" t="n">
        <x:v>2.7</x:v>
      </x:c>
      <x:c r="P6" s="104" t="n">
        <x:v>0.3</x:v>
      </x:c>
      <x:c r="Q6" s="104" t="n">
        <x:v>0.3</x:v>
      </x:c>
      <x:c r="R6" s="104" t="n">
        <x:v>0</x:v>
      </x:c>
      <x:c r="S6" s="104" t="n">
        <x:v>19</x:v>
      </x:c>
      <x:c r="T6" s="104" t="n">
        <x:v>19</x:v>
      </x:c>
      <x:c r="U6" s="104" t="n">
        <x:v>0</x:v>
      </x:c>
      <x:c r="V6" s="104"/>
      <x:c r="W6" s="103" t="n">
        <x:v>10</x:v>
      </x:c>
      <x:c r="X6" s="105" t="str">
        <x:v>preserved the minimum feasible negative-P5 exposure; projection +2.7 pts; released $4.2M; became the projected 2x captain.</x:v>
      </x:c>
    </x:row>
    <x:row r="7" ht="44" customHeight="1">
      <x:c r="A7" s="101" t="str">
        <x:v>Max Points</x:v>
      </x:c>
      <x:c r="B7" s="101" t="str">
        <x:v>Total avoidance</x:v>
      </x:c>
      <x:c r="C7" s="101" t="n">
        <x:v>2</x:v>
      </x:c>
      <x:c r="D7" s="101" t="str">
        <x:v>Chinese Grand Prix</x:v>
      </x:c>
      <x:c r="E7" s="101" t="str">
        <x:v>reconstructed</x:v>
      </x:c>
      <x:c r="F7" s="101" t="str"/>
      <x:c r="G7" s="101" t="str">
        <x:v>constructor</x:v>
      </x:c>
      <x:c r="H7" s="101" t="str">
        <x:v>williams</x:v>
      </x:c>
      <x:c r="I7" s="101" t="str">
        <x:v>audi</x:v>
      </x:c>
      <x:c r="J7" s="102" t="n">
        <x:v>13.2</x:v>
      </x:c>
      <x:c r="K7" s="102" t="n">
        <x:v>5.4</x:v>
      </x:c>
      <x:c r="L7" s="102" t="n">
        <x:v>-7.8</x:v>
      </x:c>
      <x:c r="M7" s="104" t="n">
        <x:v>37.8</x:v>
      </x:c>
      <x:c r="N7" s="104" t="n">
        <x:v>33.9</x:v>
      </x:c>
      <x:c r="O7" s="104" t="n">
        <x:v>-3.9</x:v>
      </x:c>
      <x:c r="P7" s="104" t="n">
        <x:v>0.6</x:v>
      </x:c>
      <x:c r="Q7" s="104" t="n">
        <x:v>0.6</x:v>
      </x:c>
      <x:c r="R7" s="104" t="n">
        <x:v>0</x:v>
      </x:c>
      <x:c r="S7" s="104" t="n">
        <x:v>7.5</x:v>
      </x:c>
      <x:c r="T7" s="104" t="n">
        <x:v>-5.5</x:v>
      </x:c>
      <x:c r="U7" s="104" t="n">
        <x:v>5.5</x:v>
      </x:c>
      <x:c r="V7" s="104"/>
      <x:c r="W7" s="103" t="n">
        <x:v>10</x:v>
      </x:c>
      <x:c r="X7" s="105" t="str">
        <x:v>accepted 5.5 more negative-P5 exposure only as part of the safest feasible full lineup; gave up 3.9 projected pts; negative-P5 exposure +5.5; released $7.8M.</x:v>
      </x:c>
    </x:row>
    <x:row r="8" ht="44" customHeight="1">
      <x:c r="A8" s="101" t="str">
        <x:v>Max Points</x:v>
      </x:c>
      <x:c r="B8" s="101" t="str">
        <x:v>Total avoidance</x:v>
      </x:c>
      <x:c r="C8" s="101" t="n">
        <x:v>3</x:v>
      </x:c>
      <x:c r="D8" s="101" t="str">
        <x:v>Japanese Grand Prix</x:v>
      </x:c>
      <x:c r="E8" s="101" t="str">
        <x:v>reconstructed</x:v>
      </x:c>
      <x:c r="F8" s="101" t="str"/>
      <x:c r="G8" s="101" t="str">
        <x:v>driver</x:v>
      </x:c>
      <x:c r="H8" s="101" t="str">
        <x:v>ALB</x:v>
      </x:c>
      <x:c r="I8" s="101" t="str">
        <x:v>LIN</x:v>
      </x:c>
      <x:c r="J8" s="102" t="n">
        <x:v>10.8</x:v>
      </x:c>
      <x:c r="K8" s="102" t="n">
        <x:v>7.4</x:v>
      </x:c>
      <x:c r="L8" s="102" t="n">
        <x:v>-3.4</x:v>
      </x:c>
      <x:c r="M8" s="104" t="n">
        <x:v>2.6</x:v>
      </x:c>
      <x:c r="N8" s="104" t="n">
        <x:v>10.4</x:v>
      </x:c>
      <x:c r="O8" s="104" t="n">
        <x:v>7.8</x:v>
      </x:c>
      <x:c r="P8" s="104" t="n">
        <x:v>-0.6</x:v>
      </x:c>
      <x:c r="Q8" s="104" t="n">
        <x:v>0.6</x:v>
      </x:c>
      <x:c r="R8" s="104" t="n">
        <x:v>1.2</x:v>
      </x:c>
      <x:c r="S8" s="104" t="n">
        <x:v>-6</x:v>
      </x:c>
      <x:c r="T8" s="104" t="n">
        <x:v>-2</x:v>
      </x:c>
      <x:c r="U8" s="104" t="n">
        <x:v>-4</x:v>
      </x:c>
      <x:c r="V8" s="104"/>
      <x:c r="W8" s="103" t="n">
        <x:v>10</x:v>
      </x:c>
      <x:c r="X8" s="105" t="str">
        <x:v>cut negative-P5 exposure by 4.0, the profile's first priority; projection +7.8 pts; forecast price change +1.2M; negative-P5 exposure -4.0; released $3.4M.</x:v>
      </x:c>
    </x:row>
    <x:row r="9" ht="44" customHeight="1">
      <x:c r="A9" s="101" t="str">
        <x:v>Max Points</x:v>
      </x:c>
      <x:c r="B9" s="101" t="str">
        <x:v>Total avoidance</x:v>
      </x:c>
      <x:c r="C9" s="101" t="n">
        <x:v>3</x:v>
      </x:c>
      <x:c r="D9" s="101" t="str">
        <x:v>Japanese Grand Prix</x:v>
      </x:c>
      <x:c r="E9" s="101" t="str">
        <x:v>reconstructed</x:v>
      </x:c>
      <x:c r="F9" s="101" t="str"/>
      <x:c r="G9" s="101" t="str">
        <x:v>constructor</x:v>
      </x:c>
      <x:c r="H9" s="101" t="str">
        <x:v>audi</x:v>
      </x:c>
      <x:c r="I9" s="101" t="str">
        <x:v>racing_bulls</x:v>
      </x:c>
      <x:c r="J9" s="102" t="n">
        <x:v>5.4</x:v>
      </x:c>
      <x:c r="K9" s="102" t="n">
        <x:v>7.5</x:v>
      </x:c>
      <x:c r="L9" s="102" t="n">
        <x:v>2.1</x:v>
      </x:c>
      <x:c r="M9" s="104" t="n">
        <x:v>19.4</x:v>
      </x:c>
      <x:c r="N9" s="104" t="n">
        <x:v>25.4</x:v>
      </x:c>
      <x:c r="O9" s="104" t="n">
        <x:v>6</x:v>
      </x:c>
      <x:c r="P9" s="104" t="n">
        <x:v>0.2</x:v>
      </x:c>
      <x:c r="Q9" s="104" t="n">
        <x:v>0.6</x:v>
      </x:c>
      <x:c r="R9" s="104" t="n">
        <x:v>0.4</x:v>
      </x:c>
      <x:c r="S9" s="104" t="n">
        <x:v>-9.5</x:v>
      </x:c>
      <x:c r="T9" s="104" t="n">
        <x:v>-4.5</x:v>
      </x:c>
      <x:c r="U9" s="104" t="n">
        <x:v>-5</x:v>
      </x:c>
      <x:c r="V9" s="104"/>
      <x:c r="W9" s="103" t="n">
        <x:v>10</x:v>
      </x:c>
      <x:c r="X9" s="105" t="str">
        <x:v>cut negative-P5 exposure by 5.0, the profile's first priority; projection +6.0 pts; forecast price change +0.4M; negative-P5 exposure -5.0; spent $2.1M more.</x:v>
      </x:c>
    </x:row>
    <x:row r="10" ht="44" customHeight="1">
      <x:c r="A10" s="101" t="str">
        <x:v>Max Points</x:v>
      </x:c>
      <x:c r="B10" s="101" t="str">
        <x:v>Total avoidance</x:v>
      </x:c>
      <x:c r="C10" s="101" t="n">
        <x:v>6</x:v>
      </x:c>
      <x:c r="D10" s="101" t="str">
        <x:v>Miami Grand Prix</x:v>
      </x:c>
      <x:c r="E10" s="101" t="str">
        <x:v>genuine</x:v>
      </x:c>
      <x:c r="F10" s="101" t="str"/>
      <x:c r="G10" s="101" t="str">
        <x:v>driver</x:v>
      </x:c>
      <x:c r="H10" s="101" t="str">
        <x:v>HAM</x:v>
      </x:c>
      <x:c r="I10" s="101" t="str">
        <x:v>LAW</x:v>
      </x:c>
      <x:c r="J10" s="102" t="n">
        <x:v>23.2</x:v>
      </x:c>
      <x:c r="K10" s="102" t="n">
        <x:v>7.5</x:v>
      </x:c>
      <x:c r="L10" s="102" t="n">
        <x:v>-15.7</x:v>
      </x:c>
      <x:c r="M10" s="104" t="n">
        <x:v>30.7</x:v>
      </x:c>
      <x:c r="N10" s="104" t="n">
        <x:v>23.4</x:v>
      </x:c>
      <x:c r="O10" s="104" t="n">
        <x:v>-7.3</x:v>
      </x:c>
      <x:c r="P10" s="104" t="n">
        <x:v>0.3</x:v>
      </x:c>
      <x:c r="Q10" s="104" t="n">
        <x:v>0.6</x:v>
      </x:c>
      <x:c r="R10" s="104" t="n">
        <x:v>0.3</x:v>
      </x:c>
      <x:c r="S10" s="104" t="n">
        <x:v>13</x:v>
      </x:c>
      <x:c r="T10" s="104" t="n">
        <x:v>1</x:v>
      </x:c>
      <x:c r="U10" s="104" t="n">
        <x:v>0</x:v>
      </x:c>
      <x:c r="V10" s="104"/>
      <x:c r="W10" s="103" t="n">
        <x:v>10</x:v>
      </x:c>
      <x:c r="X10" s="105" t="str">
        <x:v>preserved the minimum feasible negative-P5 exposure; gave up 7.3 projected pts; forecast price change +0.3M; released $15.7M.</x:v>
      </x:c>
    </x:row>
    <x:row r="11" ht="44" customHeight="1">
      <x:c r="A11" s="101" t="str">
        <x:v>Max Points</x:v>
      </x:c>
      <x:c r="B11" s="101" t="str">
        <x:v>Total avoidance</x:v>
      </x:c>
      <x:c r="C11" s="101" t="n">
        <x:v>6</x:v>
      </x:c>
      <x:c r="D11" s="101" t="str">
        <x:v>Miami Grand Prix</x:v>
      </x:c>
      <x:c r="E11" s="101" t="str">
        <x:v>genuine</x:v>
      </x:c>
      <x:c r="F11" s="101" t="str"/>
      <x:c r="G11" s="101" t="str">
        <x:v>constructor</x:v>
      </x:c>
      <x:c r="H11" s="101" t="str">
        <x:v>haas</x:v>
      </x:c>
      <x:c r="I11" s="101" t="str">
        <x:v>ferrari</x:v>
      </x:c>
      <x:c r="J11" s="102" t="n">
        <x:v>9.2</x:v>
      </x:c>
      <x:c r="K11" s="102" t="n">
        <x:v>24.2</x:v>
      </x:c>
      <x:c r="L11" s="102" t="n">
        <x:v>15</x:v>
      </x:c>
      <x:c r="M11" s="104" t="n">
        <x:v>44.6</x:v>
      </x:c>
      <x:c r="N11" s="104" t="n">
        <x:v>99.9</x:v>
      </x:c>
      <x:c r="O11" s="104" t="n">
        <x:v>55.3</x:v>
      </x:c>
      <x:c r="P11" s="104" t="n">
        <x:v>0.6</x:v>
      </x:c>
      <x:c r="Q11" s="104" t="n">
        <x:v>0.3</x:v>
      </x:c>
      <x:c r="R11" s="104" t="n">
        <x:v>-0.3</x:v>
      </x:c>
      <x:c r="S11" s="104" t="n">
        <x:v>5.5</x:v>
      </x:c>
      <x:c r="T11" s="104" t="n">
        <x:v>62.5</x:v>
      </x:c>
      <x:c r="U11" s="104" t="n">
        <x:v>0</x:v>
      </x:c>
      <x:c r="V11" s="104"/>
      <x:c r="W11" s="103" t="n">
        <x:v>10</x:v>
      </x:c>
      <x:c r="X11" s="105" t="str">
        <x:v>preserved the minimum feasible negative-P5 exposure; projection +55.3 pts; forecast price change -0.3M; spent $15.0M more.</x:v>
      </x:c>
    </x:row>
    <x:row r="12" ht="44" customHeight="1">
      <x:c r="A12" s="101" t="str">
        <x:v>Max Points</x:v>
      </x:c>
      <x:c r="B12" s="101" t="str">
        <x:v>Total avoidance</x:v>
      </x:c>
      <x:c r="C12" s="101" t="n">
        <x:v>7</x:v>
      </x:c>
      <x:c r="D12" s="101" t="str">
        <x:v>Canadian Grand Prix</x:v>
      </x:c>
      <x:c r="E12" s="101" t="str">
        <x:v>genuine</x:v>
      </x:c>
      <x:c r="F12" s="101" t="str">
        <x:v>wild card</x:v>
      </x:c>
      <x:c r="G12" s="101" t="str">
        <x:v>driver</x:v>
      </x:c>
      <x:c r="H12" s="101" t="str">
        <x:v>LAW</x:v>
      </x:c>
      <x:c r="I12" s="101" t="str">
        <x:v>COL</x:v>
      </x:c>
      <x:c r="J12" s="102" t="n">
        <x:v>8.1</x:v>
      </x:c>
      <x:c r="K12" s="102" t="n">
        <x:v>8.2</x:v>
      </x:c>
      <x:c r="L12" s="102" t="n">
        <x:v>0.1</x:v>
      </x:c>
      <x:c r="M12" s="104" t="n">
        <x:v>15.1</x:v>
      </x:c>
      <x:c r="N12" s="104" t="n">
        <x:v>15.9</x:v>
      </x:c>
      <x:c r="O12" s="104" t="n">
        <x:v>0.8</x:v>
      </x:c>
      <x:c r="P12" s="104" t="n">
        <x:v>-0.6</x:v>
      </x:c>
      <x:c r="Q12" s="104" t="n">
        <x:v>0.6</x:v>
      </x:c>
      <x:c r="R12" s="104" t="n">
        <x:v>1.2</x:v>
      </x:c>
      <x:c r="S12" s="104" t="n">
        <x:v>-16</x:v>
      </x:c>
      <x:c r="T12" s="104" t="n">
        <x:v>-6</x:v>
      </x:c>
      <x:c r="U12" s="104" t="n">
        <x:v>-10</x:v>
      </x:c>
      <x:c r="V12" s="104"/>
      <x:c r="W12" s="103" t="n">
        <x:v>0</x:v>
      </x:c>
      <x:c r="X12" s="105" t="str">
        <x:v>Wild Card made the permanent rebuild free; Forecasted competitive-order change called for 4 lineup changes and a 25.6-utility improvement; this is the upgrade/order-shift proxy.; cut negative-P5 exposure by 10.0, the profile's first priority; projection +0.8 pts; forecast price change +1.2M; negative-P5 exposure -10.0; spent $0.1M more.</x:v>
      </x:c>
    </x:row>
    <x:row r="13" ht="44" customHeight="1">
      <x:c r="A13" s="101" t="str">
        <x:v>Max Points</x:v>
      </x:c>
      <x:c r="B13" s="101" t="str">
        <x:v>Total avoidance</x:v>
      </x:c>
      <x:c r="C13" s="101" t="n">
        <x:v>7</x:v>
      </x:c>
      <x:c r="D13" s="101" t="str">
        <x:v>Canadian Grand Prix</x:v>
      </x:c>
      <x:c r="E13" s="101" t="str">
        <x:v>genuine</x:v>
      </x:c>
      <x:c r="F13" s="101" t="str">
        <x:v>wild card</x:v>
      </x:c>
      <x:c r="G13" s="101" t="str">
        <x:v>driver</x:v>
      </x:c>
      <x:c r="H13" s="101" t="str">
        <x:v>LEC</x:v>
      </x:c>
      <x:c r="I13" s="101" t="str">
        <x:v>NOR</x:v>
      </x:c>
      <x:c r="J13" s="102" t="n">
        <x:v>24</x:v>
      </x:c>
      <x:c r="K13" s="102" t="n">
        <x:v>26.4</x:v>
      </x:c>
      <x:c r="L13" s="102" t="n">
        <x:v>2.4</x:v>
      </x:c>
      <x:c r="M13" s="104" t="n">
        <x:v>30.3</x:v>
      </x:c>
      <x:c r="N13" s="104" t="n">
        <x:v>41.1</x:v>
      </x:c>
      <x:c r="O13" s="104" t="n">
        <x:v>10.8</x:v>
      </x:c>
      <x:c r="P13" s="104" t="n">
        <x:v>0.3</x:v>
      </x:c>
      <x:c r="Q13" s="104" t="n">
        <x:v>0.3</x:v>
      </x:c>
      <x:c r="R13" s="104" t="n">
        <x:v>0</x:v>
      </x:c>
      <x:c r="S13" s="104" t="n">
        <x:v>13</x:v>
      </x:c>
      <x:c r="T13" s="104" t="n">
        <x:v>19</x:v>
      </x:c>
      <x:c r="U13" s="104" t="n">
        <x:v>0</x:v>
      </x:c>
      <x:c r="V13" s="104"/>
      <x:c r="W13" s="103" t="n">
        <x:v>0</x:v>
      </x:c>
      <x:c r="X13" s="105" t="str">
        <x:v>Wild Card made the permanent rebuild free; Forecasted competitive-order change called for 4 lineup changes and a 25.6-utility improvement; this is the upgrade/order-shift proxy.; preserved the minimum feasible negative-P5 exposure; projection +10.8 pts; spent $2.4M more.</x:v>
      </x:c>
    </x:row>
    <x:row r="14" ht="44" customHeight="1">
      <x:c r="A14" s="101" t="str">
        <x:v>Max Points</x:v>
      </x:c>
      <x:c r="B14" s="101" t="str">
        <x:v>Total avoidance</x:v>
      </x:c>
      <x:c r="C14" s="101" t="n">
        <x:v>7</x:v>
      </x:c>
      <x:c r="D14" s="101" t="str">
        <x:v>Canadian Grand Prix</x:v>
      </x:c>
      <x:c r="E14" s="101" t="str">
        <x:v>genuine</x:v>
      </x:c>
      <x:c r="F14" s="101" t="str">
        <x:v>wild card</x:v>
      </x:c>
      <x:c r="G14" s="101" t="str">
        <x:v>driver</x:v>
      </x:c>
      <x:c r="H14" s="101" t="str">
        <x:v>LIN</x:v>
      </x:c>
      <x:c r="I14" s="101" t="str">
        <x:v>SAI</x:v>
      </x:c>
      <x:c r="J14" s="102" t="n">
        <x:v>7</x:v>
      </x:c>
      <x:c r="K14" s="102" t="n">
        <x:v>13</x:v>
      </x:c>
      <x:c r="L14" s="102" t="n">
        <x:v>6</x:v>
      </x:c>
      <x:c r="M14" s="104" t="n">
        <x:v>11.1</x:v>
      </x:c>
      <x:c r="N14" s="104" t="n">
        <x:v>15.2</x:v>
      </x:c>
      <x:c r="O14" s="104" t="n">
        <x:v>4.1</x:v>
      </x:c>
      <x:c r="P14" s="104" t="n">
        <x:v>-0.6</x:v>
      </x:c>
      <x:c r="Q14" s="104" t="n">
        <x:v>0.2</x:v>
      </x:c>
      <x:c r="R14" s="104" t="n">
        <x:v>0.8</x:v>
      </x:c>
      <x:c r="S14" s="104" t="n">
        <x:v>-6</x:v>
      </x:c>
      <x:c r="T14" s="104" t="n">
        <x:v>-2</x:v>
      </x:c>
      <x:c r="U14" s="104" t="n">
        <x:v>-4</x:v>
      </x:c>
      <x:c r="V14" s="104"/>
      <x:c r="W14" s="103" t="n">
        <x:v>0</x:v>
      </x:c>
      <x:c r="X14" s="105" t="str">
        <x:v>Wild Card made the permanent rebuild free; Forecasted competitive-order change called for 4 lineup changes and a 25.6-utility improvement; this is the upgrade/order-shift proxy.; cut negative-P5 exposure by 4.0, the profile's first priority; projection +4.1 pts; forecast price change +0.8M; negative-P5 exposure -4.0; spent $6.0M more.</x:v>
      </x:c>
    </x:row>
    <x:row r="15" ht="44" customHeight="1">
      <x:c r="A15" s="101" t="str">
        <x:v>Max Points</x:v>
      </x:c>
      <x:c r="B15" s="101" t="str">
        <x:v>Total avoidance</x:v>
      </x:c>
      <x:c r="C15" s="101" t="n">
        <x:v>7</x:v>
      </x:c>
      <x:c r="D15" s="101" t="str">
        <x:v>Canadian Grand Prix</x:v>
      </x:c>
      <x:c r="E15" s="101" t="str">
        <x:v>genuine</x:v>
      </x:c>
      <x:c r="F15" s="101" t="str">
        <x:v>wild card</x:v>
      </x:c>
      <x:c r="G15" s="101" t="str">
        <x:v>constructor</x:v>
      </x:c>
      <x:c r="H15" s="101" t="str">
        <x:v>ferrari</x:v>
      </x:c>
      <x:c r="I15" s="101" t="str">
        <x:v>williams</x:v>
      </x:c>
      <x:c r="J15" s="102" t="n">
        <x:v>24.5</x:v>
      </x:c>
      <x:c r="K15" s="102" t="n">
        <x:v>14.4</x:v>
      </x:c>
      <x:c r="L15" s="102" t="n">
        <x:v>-10.1</x:v>
      </x:c>
      <x:c r="M15" s="104" t="n">
        <x:v>84.8</x:v>
      </x:c>
      <x:c r="N15" s="104" t="n">
        <x:v>38.8</x:v>
      </x:c>
      <x:c r="O15" s="104" t="n">
        <x:v>-46</x:v>
      </x:c>
      <x:c r="P15" s="104" t="n">
        <x:v>0.3</x:v>
      </x:c>
      <x:c r="Q15" s="104" t="n">
        <x:v>0.6</x:v>
      </x:c>
      <x:c r="R15" s="104" t="n">
        <x:v>0.3</x:v>
      </x:c>
      <x:c r="S15" s="104" t="n">
        <x:v>50.5</x:v>
      </x:c>
      <x:c r="T15" s="104" t="n">
        <x:v>10.5</x:v>
      </x:c>
      <x:c r="U15" s="104" t="n">
        <x:v>0</x:v>
      </x:c>
      <x:c r="V15" s="104"/>
      <x:c r="W15" s="103" t="n">
        <x:v>0</x:v>
      </x:c>
      <x:c r="X15" s="105" t="str">
        <x:v>Wild Card made the permanent rebuild free; Forecasted competitive-order change called for 4 lineup changes and a 25.6-utility improvement; this is the upgrade/order-shift proxy.; preserved the minimum feasible negative-P5 exposure; gave up 46.0 projected pts; forecast price change +0.3M; released $10.1M.</x:v>
      </x:c>
    </x:row>
    <x:row r="16" ht="44" customHeight="1">
      <x:c r="A16" s="101" t="str">
        <x:v>Max Points</x:v>
      </x:c>
      <x:c r="B16" s="101" t="str">
        <x:v>Total avoidance</x:v>
      </x:c>
      <x:c r="C16" s="101" t="n">
        <x:v>9</x:v>
      </x:c>
      <x:c r="D16" s="101" t="str">
        <x:v>Spanish Grand Prix</x:v>
      </x:c>
      <x:c r="E16" s="101" t="str">
        <x:v>genuine</x:v>
      </x:c>
      <x:c r="F16" s="101" t="str"/>
      <x:c r="G16" s="101" t="str">
        <x:v>driver</x:v>
      </x:c>
      <x:c r="H16" s="101" t="str">
        <x:v>COL</x:v>
      </x:c>
      <x:c r="I16" s="101" t="str">
        <x:v>LIN</x:v>
      </x:c>
      <x:c r="J16" s="102" t="n">
        <x:v>9.4</x:v>
      </x:c>
      <x:c r="K16" s="102" t="n">
        <x:v>5.8</x:v>
      </x:c>
      <x:c r="L16" s="102" t="n">
        <x:v>-3.6</x:v>
      </x:c>
      <x:c r="M16" s="104" t="n">
        <x:v>5.5</x:v>
      </x:c>
      <x:c r="N16" s="104" t="n">
        <x:v>6.6</x:v>
      </x:c>
      <x:c r="O16" s="104" t="n">
        <x:v>1.1</x:v>
      </x:c>
      <x:c r="P16" s="104" t="n">
        <x:v>0.2</x:v>
      </x:c>
      <x:c r="Q16" s="104" t="n">
        <x:v>-0.6</x:v>
      </x:c>
      <x:c r="R16" s="104" t="n">
        <x:v>-0.8</x:v>
      </x:c>
      <x:c r="S16" s="104" t="n">
        <x:v>-3</x:v>
      </x:c>
      <x:c r="T16" s="104" t="n">
        <x:v>-2</x:v>
      </x:c>
      <x:c r="U16" s="104" t="n">
        <x:v>-1</x:v>
      </x:c>
      <x:c r="V16" s="104"/>
      <x:c r="W16" s="103" t="n">
        <x:v>10</x:v>
      </x:c>
      <x:c r="X16" s="105" t="str">
        <x:v>cut negative-P5 exposure by 1.0, the profile's first priority; projection +1.1 pts; forecast price change -0.8M; negative-P5 exposure -1.0; released $3.6M.</x:v>
      </x:c>
    </x:row>
    <x:row r="17" ht="44" customHeight="1">
      <x:c r="A17" s="101" t="str">
        <x:v>Max Points</x:v>
      </x:c>
      <x:c r="B17" s="101" t="str">
        <x:v>Total avoidance</x:v>
      </x:c>
      <x:c r="C17" s="101" t="n">
        <x:v>9</x:v>
      </x:c>
      <x:c r="D17" s="101" t="str">
        <x:v>Spanish Grand Prix</x:v>
      </x:c>
      <x:c r="E17" s="101" t="str">
        <x:v>genuine</x:v>
      </x:c>
      <x:c r="F17" s="101" t="str"/>
      <x:c r="G17" s="101" t="str">
        <x:v>driver</x:v>
      </x:c>
      <x:c r="H17" s="101" t="str">
        <x:v>NOR</x:v>
      </x:c>
      <x:c r="I17" s="101" t="str">
        <x:v>PIA</x:v>
      </x:c>
      <x:c r="J17" s="102" t="n">
        <x:v>26.2</x:v>
      </x:c>
      <x:c r="K17" s="102" t="n">
        <x:v>25.1</x:v>
      </x:c>
      <x:c r="L17" s="102" t="n">
        <x:v>-1.1</x:v>
      </x:c>
      <x:c r="M17" s="104" t="n">
        <x:v>24.1</x:v>
      </x:c>
      <x:c r="N17" s="104" t="n">
        <x:v>25.2</x:v>
      </x:c>
      <x:c r="O17" s="104" t="n">
        <x:v>1.1</x:v>
      </x:c>
      <x:c r="P17" s="104" t="n">
        <x:v>-0.3</x:v>
      </x:c>
      <x:c r="Q17" s="104" t="n">
        <x:v>-0.1</x:v>
      </x:c>
      <x:c r="R17" s="104" t="n">
        <x:v>0.2</x:v>
      </x:c>
      <x:c r="S17" s="104" t="n">
        <x:v>-6</x:v>
      </x:c>
      <x:c r="T17" s="104" t="n">
        <x:v>10</x:v>
      </x:c>
      <x:c r="U17" s="104" t="n">
        <x:v>-6</x:v>
      </x:c>
      <x:c r="V17" s="104"/>
      <x:c r="W17" s="103" t="n">
        <x:v>10</x:v>
      </x:c>
      <x:c r="X17" s="105" t="str">
        <x:v>cut negative-P5 exposure by 6.0, the profile's first priority; projection +1.1 pts; forecast price change +0.2M; negative-P5 exposure -6.0; released $1.1M.</x:v>
      </x:c>
    </x:row>
    <x:row r="18" ht="44" customHeight="1">
      <x:c r="A18" s="101" t="str">
        <x:v>Max Points</x:v>
      </x:c>
      <x:c r="B18" s="101" t="str">
        <x:v>Total avoidance</x:v>
      </x:c>
      <x:c r="C18" s="101" t="n">
        <x:v>9</x:v>
      </x:c>
      <x:c r="D18" s="101" t="str">
        <x:v>Spanish Grand Prix</x:v>
      </x:c>
      <x:c r="E18" s="101" t="str">
        <x:v>genuine</x:v>
      </x:c>
      <x:c r="F18" s="101" t="str"/>
      <x:c r="G18" s="101" t="str">
        <x:v>driver</x:v>
      </x:c>
      <x:c r="H18" s="101" t="str">
        <x:v>SAI</x:v>
      </x:c>
      <x:c r="I18" s="101" t="str">
        <x:v>HAM</x:v>
      </x:c>
      <x:c r="J18" s="102" t="n">
        <x:v>12.6</x:v>
      </x:c>
      <x:c r="K18" s="102" t="n">
        <x:v>23.9</x:v>
      </x:c>
      <x:c r="L18" s="102" t="n">
        <x:v>11.3</x:v>
      </x:c>
      <x:c r="M18" s="104" t="n">
        <x:v>1.7</x:v>
      </x:c>
      <x:c r="N18" s="104" t="n">
        <x:v>23.1</x:v>
      </x:c>
      <x:c r="O18" s="104" t="n">
        <x:v>21.4</x:v>
      </x:c>
      <x:c r="P18" s="104" t="n">
        <x:v>-0.6</x:v>
      </x:c>
      <x:c r="Q18" s="104" t="n">
        <x:v>0.3</x:v>
      </x:c>
      <x:c r="R18" s="104" t="n">
        <x:v>0.9</x:v>
      </x:c>
      <x:c r="S18" s="104" t="n">
        <x:v>-12</x:v>
      </x:c>
      <x:c r="T18" s="104" t="n">
        <x:v>7</x:v>
      </x:c>
      <x:c r="U18" s="104" t="n">
        <x:v>-12</x:v>
      </x:c>
      <x:c r="V18" s="104"/>
      <x:c r="W18" s="103" t="n">
        <x:v>10</x:v>
      </x:c>
      <x:c r="X18" s="105" t="str">
        <x:v>cut negative-P5 exposure by 12.0, the profile's first priority; projection +21.4 pts; forecast price change +0.9M; negative-P5 exposure -12.0; spent $11.3M more.</x:v>
      </x:c>
    </x:row>
    <x:row r="19" ht="44" customHeight="1">
      <x:c r="A19" s="101" t="str">
        <x:v>Max Points</x:v>
      </x:c>
      <x:c r="B19" s="101" t="str">
        <x:v>Total avoidance</x:v>
      </x:c>
      <x:c r="C19" s="101" t="n">
        <x:v>9</x:v>
      </x:c>
      <x:c r="D19" s="101" t="str">
        <x:v>Spanish Grand Prix</x:v>
      </x:c>
      <x:c r="E19" s="101" t="str">
        <x:v>genuine</x:v>
      </x:c>
      <x:c r="F19" s="101" t="str"/>
      <x:c r="G19" s="101" t="str">
        <x:v>constructor</x:v>
      </x:c>
      <x:c r="H19" s="101" t="str">
        <x:v>williams</x:v>
      </x:c>
      <x:c r="I19" s="101" t="str">
        <x:v>haas</x:v>
      </x:c>
      <x:c r="J19" s="102" t="n">
        <x:v>15.6</x:v>
      </x:c>
      <x:c r="K19" s="102" t="n">
        <x:v>10.6</x:v>
      </x:c>
      <x:c r="L19" s="102" t="n">
        <x:v>-5</x:v>
      </x:c>
      <x:c r="M19" s="104" t="n">
        <x:v>17.9</x:v>
      </x:c>
      <x:c r="N19" s="104" t="n">
        <x:v>22.5</x:v>
      </x:c>
      <x:c r="O19" s="104" t="n">
        <x:v>4.6</x:v>
      </x:c>
      <x:c r="P19" s="104" t="n">
        <x:v>-0.2</x:v>
      </x:c>
      <x:c r="Q19" s="104" t="n">
        <x:v>0.2</x:v>
      </x:c>
      <x:c r="R19" s="104" t="n">
        <x:v>0.4</x:v>
      </x:c>
      <x:c r="S19" s="104" t="n">
        <x:v>-5.5</x:v>
      </x:c>
      <x:c r="T19" s="104" t="n">
        <x:v>0.5</x:v>
      </x:c>
      <x:c r="U19" s="104" t="n">
        <x:v>-5.5</x:v>
      </x:c>
      <x:c r="V19" s="104"/>
      <x:c r="W19" s="103" t="n">
        <x:v>10</x:v>
      </x:c>
      <x:c r="X19" s="105" t="str">
        <x:v>cut negative-P5 exposure by 5.5, the profile's first priority; projection +4.6 pts; forecast price change +0.4M; negative-P5 exposure -5.5; released $5.0M.</x:v>
      </x:c>
    </x:row>
    <x:row r="20" ht="44" customHeight="1">
      <x:c r="A20" s="101" t="str">
        <x:v>Max Points</x:v>
      </x:c>
      <x:c r="B20" s="101" t="str">
        <x:v>Total avoidance</x:v>
      </x:c>
      <x:c r="C20" s="101" t="n">
        <x:v>10</x:v>
      </x:c>
      <x:c r="D20" s="101" t="str">
        <x:v>Austrian Grand Prix</x:v>
      </x:c>
      <x:c r="E20" s="101" t="str">
        <x:v>genuine</x:v>
      </x:c>
      <x:c r="F20" s="101" t="str">
        <x:v>no negative</x:v>
      </x:c>
      <x:c r="G20" s="101" t="str">
        <x:v>driver</x:v>
      </x:c>
      <x:c r="H20" s="101" t="str">
        <x:v>ANT</x:v>
      </x:c>
      <x:c r="I20" s="101" t="str">
        <x:v>COL</x:v>
      </x:c>
      <x:c r="J20" s="102" t="n">
        <x:v>25.3</x:v>
      </x:c>
      <x:c r="K20" s="102" t="n">
        <x:v>10</x:v>
      </x:c>
      <x:c r="L20" s="102" t="n">
        <x:v>-15.3</x:v>
      </x:c>
      <x:c r="M20" s="104" t="n">
        <x:v>27.7</x:v>
      </x:c>
      <x:c r="N20" s="104" t="n">
        <x:v>5.6</x:v>
      </x:c>
      <x:c r="O20" s="104" t="n">
        <x:v>-22.1</x:v>
      </x:c>
      <x:c r="P20" s="104" t="n">
        <x:v>0.1</x:v>
      </x:c>
      <x:c r="Q20" s="104" t="n">
        <x:v>-0.6</x:v>
      </x:c>
      <x:c r="R20" s="104" t="n">
        <x:v>-0.7</x:v>
      </x:c>
      <x:c r="S20" s="104" t="n">
        <x:v>-14.3</x:v>
      </x:c>
      <x:c r="T20" s="104" t="n">
        <x:v>-3</x:v>
      </x:c>
      <x:c r="U20" s="104" t="n">
        <x:v>-11.3</x:v>
      </x:c>
      <x:c r="V20" s="104"/>
      <x:c r="W20" s="103" t="n">
        <x:v>10</x:v>
      </x:c>
      <x:c r="X20" s="105" t="str">
        <x:v>cut negative-P5 exposure by 11.3, the profile's first priority; gave up 22.1 projected pts; forecast price change -0.7M; negative-P5 exposure -11.3; released $15.3M.</x:v>
      </x:c>
    </x:row>
    <x:row r="21" ht="44" customHeight="1">
      <x:c r="A21" s="101" t="str">
        <x:v>Max Points</x:v>
      </x:c>
      <x:c r="B21" s="101" t="str">
        <x:v>Total avoidance</x:v>
      </x:c>
      <x:c r="C21" s="101" t="n">
        <x:v>10</x:v>
      </x:c>
      <x:c r="D21" s="101" t="str">
        <x:v>Austrian Grand Prix</x:v>
      </x:c>
      <x:c r="E21" s="101" t="str">
        <x:v>genuine</x:v>
      </x:c>
      <x:c r="F21" s="101" t="str">
        <x:v>no negative</x:v>
      </x:c>
      <x:c r="G21" s="101" t="str">
        <x:v>constructor</x:v>
      </x:c>
      <x:c r="H21" s="101" t="str">
        <x:v>haas</x:v>
      </x:c>
      <x:c r="I21" s="101" t="str">
        <x:v>ferrari</x:v>
      </x:c>
      <x:c r="J21" s="102" t="n">
        <x:v>10.4</x:v>
      </x:c>
      <x:c r="K21" s="102" t="n">
        <x:v>25.4</x:v>
      </x:c>
      <x:c r="L21" s="102" t="n">
        <x:v>15</x:v>
      </x:c>
      <x:c r="M21" s="104" t="n">
        <x:v>16.4</x:v>
      </x:c>
      <x:c r="N21" s="104" t="n">
        <x:v>57.5</x:v>
      </x:c>
      <x:c r="O21" s="104" t="n">
        <x:v>41.1</x:v>
      </x:c>
      <x:c r="P21" s="104" t="n">
        <x:v>-0.2</x:v>
      </x:c>
      <x:c r="Q21" s="104" t="n">
        <x:v>0.3</x:v>
      </x:c>
      <x:c r="R21" s="104" t="n">
        <x:v>0.5</x:v>
      </x:c>
      <x:c r="S21" s="104" t="n">
        <x:v>-13.1</x:v>
      </x:c>
      <x:c r="T21" s="104" t="n">
        <x:v>16.8</x:v>
      </x:c>
      <x:c r="U21" s="104" t="n">
        <x:v>-13.1</x:v>
      </x:c>
      <x:c r="V21" s="104"/>
      <x:c r="W21" s="103" t="n">
        <x:v>10</x:v>
      </x:c>
      <x:c r="X21" s="105" t="str">
        <x:v>cut negative-P5 exposure by 13.1, the profile's first priority; projection +41.1 pts; forecast price change +0.5M; negative-P5 exposure -13.1; spent $15.0M more.</x:v>
      </x:c>
    </x:row>
    <x:row r="22" ht="44" customHeight="1">
      <x:c r="A22" s="101" t="str">
        <x:v>Max Points</x:v>
      </x:c>
      <x:c r="B22" s="101" t="str">
        <x:v>Total avoidance</x:v>
      </x:c>
      <x:c r="C22" s="101" t="n">
        <x:v>11</x:v>
      </x:c>
      <x:c r="D22" s="101" t="str">
        <x:v>British Grand Prix</x:v>
      </x:c>
      <x:c r="E22" s="101" t="str">
        <x:v>genuine</x:v>
      </x:c>
      <x:c r="F22" s="101" t="str">
        <x:v>autopilot</x:v>
      </x:c>
      <x:c r="G22" s="101" t="str">
        <x:v>driver</x:v>
      </x:c>
      <x:c r="H22" s="101" t="str">
        <x:v>PIA</x:v>
      </x:c>
      <x:c r="I22" s="101" t="str">
        <x:v>ANT</x:v>
      </x:c>
      <x:c r="J22" s="102" t="n">
        <x:v>24.9</x:v>
      </x:c>
      <x:c r="K22" s="102" t="n">
        <x:v>25.4</x:v>
      </x:c>
      <x:c r="L22" s="102" t="n">
        <x:v>0.5</x:v>
      </x:c>
      <x:c r="M22" s="104" t="n">
        <x:v>18.7</x:v>
      </x:c>
      <x:c r="N22" s="104" t="n">
        <x:v>31.2</x:v>
      </x:c>
      <x:c r="O22" s="104" t="n">
        <x:v>12.5</x:v>
      </x:c>
      <x:c r="P22" s="104" t="n">
        <x:v>-0.1</x:v>
      </x:c>
      <x:c r="Q22" s="104" t="n">
        <x:v>-0.1</x:v>
      </x:c>
      <x:c r="R22" s="104" t="n">
        <x:v>0</x:v>
      </x:c>
      <x:c r="S22" s="104" t="n">
        <x:v>-6.7</x:v>
      </x:c>
      <x:c r="T22" s="104" t="n">
        <x:v>0</x:v>
      </x:c>
      <x:c r="U22" s="104" t="n">
        <x:v>-6.7</x:v>
      </x:c>
      <x:c r="V22" s="104"/>
      <x:c r="W22" s="103" t="n">
        <x:v>0</x:v>
      </x:c>
      <x:c r="X22" s="105" t="str">
        <x:v>cut negative-P5 exposure by 6.7, the profile's first priority; projection +12.5 pts; negative-P5 exposure -6.7; spent $0.5M more.</x:v>
      </x:c>
    </x:row>
    <x:row r="23" ht="44" customHeight="1">
      <x:c r="A23" s="101" t="str">
        <x:v>Max Points</x:v>
      </x:c>
      <x:c r="B23" s="101" t="str">
        <x:v>Total avoidance</x:v>
      </x:c>
      <x:c r="C23" s="101" t="n">
        <x:v>12</x:v>
      </x:c>
      <x:c r="D23" s="101" t="str">
        <x:v>Belgian Grand Prix</x:v>
      </x:c>
      <x:c r="E23" s="101" t="str">
        <x:v>genuine</x:v>
      </x:c>
      <x:c r="F23" s="101" t="str"/>
      <x:c r="G23" s="101" t="str">
        <x:v>driver</x:v>
      </x:c>
      <x:c r="H23" s="101" t="str">
        <x:v>COL</x:v>
      </x:c>
      <x:c r="I23" s="101" t="str">
        <x:v>HAD</x:v>
      </x:c>
      <x:c r="J23" s="102" t="n">
        <x:v>10.4</x:v>
      </x:c>
      <x:c r="K23" s="102" t="n">
        <x:v>13.3</x:v>
      </x:c>
      <x:c r="L23" s="102" t="n">
        <x:v>2.9</x:v>
      </x:c>
      <x:c r="M23" s="104" t="n">
        <x:v>2.7</x:v>
      </x:c>
      <x:c r="N23" s="104" t="n">
        <x:v>33.3</x:v>
      </x:c>
      <x:c r="O23" s="104" t="n">
        <x:v>30.6</x:v>
      </x:c>
      <x:c r="P23" s="104" t="n">
        <x:v>0.6</x:v>
      </x:c>
      <x:c r="Q23" s="104" t="n">
        <x:v>0.6</x:v>
      </x:c>
      <x:c r="R23" s="104" t="n">
        <x:v>0</x:v>
      </x:c>
      <x:c r="S23" s="104" t="n">
        <x:v>-14.7</x:v>
      </x:c>
      <x:c r="T23" s="104" t="n">
        <x:v>-14.7</x:v>
      </x:c>
      <x:c r="U23" s="104" t="n">
        <x:v>0</x:v>
      </x:c>
      <x:c r="V23" s="104"/>
      <x:c r="W23" s="103" t="n">
        <x:v>10</x:v>
      </x:c>
      <x:c r="X23" s="105" t="str">
        <x:v>preserved the minimum feasible negative-P5 exposure; projection +30.6 pts; spent $2.9M more; became the projected 2x captain.</x:v>
      </x:c>
    </x:row>
    <x:row r="24" ht="44" customHeight="1">
      <x:c r="A24" s="101" t="str">
        <x:v>Max Points</x:v>
      </x:c>
      <x:c r="B24" s="101" t="str">
        <x:v>Total avoidance</x:v>
      </x:c>
      <x:c r="C24" s="101" t="n">
        <x:v>12</x:v>
      </x:c>
      <x:c r="D24" s="101" t="str">
        <x:v>Belgian Grand Prix</x:v>
      </x:c>
      <x:c r="E24" s="101" t="str">
        <x:v>genuine</x:v>
      </x:c>
      <x:c r="F24" s="101" t="str"/>
      <x:c r="G24" s="101" t="str">
        <x:v>driver</x:v>
      </x:c>
      <x:c r="H24" s="101" t="str">
        <x:v>OCO</x:v>
      </x:c>
      <x:c r="I24" s="101" t="str">
        <x:v>BOR</x:v>
      </x:c>
      <x:c r="J24" s="102" t="n">
        <x:v>10.3</x:v>
      </x:c>
      <x:c r="K24" s="102" t="n">
        <x:v>6.6</x:v>
      </x:c>
      <x:c r="L24" s="102" t="n">
        <x:v>-3.7</x:v>
      </x:c>
      <x:c r="M24" s="104" t="n">
        <x:v>3.2</x:v>
      </x:c>
      <x:c r="N24" s="104" t="n">
        <x:v>1.9</x:v>
      </x:c>
      <x:c r="O24" s="104" t="n">
        <x:v>-1.3</x:v>
      </x:c>
      <x:c r="P24" s="104" t="n">
        <x:v>0.2</x:v>
      </x:c>
      <x:c r="Q24" s="104" t="n">
        <x:v>0.2</x:v>
      </x:c>
      <x:c r="R24" s="104" t="n">
        <x:v>0</x:v>
      </x:c>
      <x:c r="S24" s="104" t="n">
        <x:v>-15.4</x:v>
      </x:c>
      <x:c r="T24" s="104" t="n">
        <x:v>-15</x:v>
      </x:c>
      <x:c r="U24" s="104" t="n">
        <x:v>-0.4</x:v>
      </x:c>
      <x:c r="V24" s="104"/>
      <x:c r="W24" s="103" t="n">
        <x:v>10</x:v>
      </x:c>
      <x:c r="X24" s="105" t="str">
        <x:v>cut negative-P5 exposure by 0.4, the profile's first priority; gave up 1.3 projected pts; negative-P5 exposure -0.4; released $3.7M.</x:v>
      </x:c>
    </x:row>
    <x:row r="25" ht="44" customHeight="1">
      <x:c r="A25" s="101" t="str">
        <x:v>Max Points</x:v>
      </x:c>
      <x:c r="B25" s="101" t="str">
        <x:v>Minimal risk accepted</x:v>
      </x:c>
      <x:c r="C25" s="101" t="n">
        <x:v>2</x:v>
      </x:c>
      <x:c r="D25" s="101" t="str">
        <x:v>Chinese Grand Prix</x:v>
      </x:c>
      <x:c r="E25" s="101" t="str">
        <x:v>reconstructed</x:v>
      </x:c>
      <x:c r="F25" s="101" t="str"/>
      <x:c r="G25" s="101" t="str">
        <x:v>driver</x:v>
      </x:c>
      <x:c r="H25" s="101" t="str">
        <x:v>RUS</x:v>
      </x:c>
      <x:c r="I25" s="101" t="str">
        <x:v>ANT</x:v>
      </x:c>
      <x:c r="J25" s="102" t="n">
        <x:v>28</x:v>
      </x:c>
      <x:c r="K25" s="102" t="n">
        <x:v>23.8</x:v>
      </x:c>
      <x:c r="L25" s="102" t="n">
        <x:v>-4.2</x:v>
      </x:c>
      <x:c r="M25" s="104" t="n">
        <x:v>45.5</x:v>
      </x:c>
      <x:c r="N25" s="104" t="n">
        <x:v>48.2</x:v>
      </x:c>
      <x:c r="O25" s="104" t="n">
        <x:v>2.7</x:v>
      </x:c>
      <x:c r="P25" s="104" t="n">
        <x:v>0.3</x:v>
      </x:c>
      <x:c r="Q25" s="104" t="n">
        <x:v>0.3</x:v>
      </x:c>
      <x:c r="R25" s="104" t="n">
        <x:v>0</x:v>
      </x:c>
      <x:c r="S25" s="104" t="n">
        <x:v>19</x:v>
      </x:c>
      <x:c r="T25" s="104" t="n">
        <x:v>19</x:v>
      </x:c>
      <x:c r="U25" s="104" t="n">
        <x:v>0</x:v>
      </x:c>
      <x:c r="V25" s="104" t="n">
        <x:v>2.7</x:v>
      </x:c>
      <x:c r="W25" s="103" t="n">
        <x:v>0</x:v>
      </x:c>
      <x:c r="X25" s="105" t="str">
        <x:v>raised approximate per-asset strategy/risk utility by +2.7; projection +2.7 pts; released $4.2M; became the projected 2x captain.</x:v>
      </x:c>
    </x:row>
    <x:row r="26" ht="44" customHeight="1">
      <x:c r="A26" s="101" t="str">
        <x:v>Max Points</x:v>
      </x:c>
      <x:c r="B26" s="101" t="str">
        <x:v>Minimal risk accepted</x:v>
      </x:c>
      <x:c r="C26" s="101" t="n">
        <x:v>2</x:v>
      </x:c>
      <x:c r="D26" s="101" t="str">
        <x:v>Chinese Grand Prix</x:v>
      </x:c>
      <x:c r="E26" s="101" t="str">
        <x:v>reconstructed</x:v>
      </x:c>
      <x:c r="F26" s="101" t="str"/>
      <x:c r="G26" s="101" t="str">
        <x:v>constructor</x:v>
      </x:c>
      <x:c r="H26" s="101" t="str">
        <x:v>williams</x:v>
      </x:c>
      <x:c r="I26" s="101" t="str">
        <x:v>haas</x:v>
      </x:c>
      <x:c r="J26" s="102" t="n">
        <x:v>13.2</x:v>
      </x:c>
      <x:c r="K26" s="102" t="n">
        <x:v>8.6</x:v>
      </x:c>
      <x:c r="L26" s="102" t="n">
        <x:v>-4.6</x:v>
      </x:c>
      <x:c r="M26" s="104" t="n">
        <x:v>37.8</x:v>
      </x:c>
      <x:c r="N26" s="104" t="n">
        <x:v>39</x:v>
      </x:c>
      <x:c r="O26" s="104" t="n">
        <x:v>1.2</x:v>
      </x:c>
      <x:c r="P26" s="104" t="n">
        <x:v>0.6</x:v>
      </x:c>
      <x:c r="Q26" s="104" t="n">
        <x:v>0.6</x:v>
      </x:c>
      <x:c r="R26" s="104" t="n">
        <x:v>0</x:v>
      </x:c>
      <x:c r="S26" s="104" t="n">
        <x:v>7.5</x:v>
      </x:c>
      <x:c r="T26" s="104" t="n">
        <x:v>1.5</x:v>
      </x:c>
      <x:c r="U26" s="104" t="n">
        <x:v>0</x:v>
      </x:c>
      <x:c r="V26" s="104" t="n">
        <x:v>1.2</x:v>
      </x:c>
      <x:c r="W26" s="103" t="n">
        <x:v>0</x:v>
      </x:c>
      <x:c r="X26" s="105" t="str">
        <x:v>raised approximate per-asset strategy/risk utility by +1.2; projection +1.2 pts; released $4.6M.</x:v>
      </x:c>
    </x:row>
    <x:row r="27" ht="44" customHeight="1">
      <x:c r="A27" s="101" t="str">
        <x:v>Max Points</x:v>
      </x:c>
      <x:c r="B27" s="101" t="str">
        <x:v>Minimal risk accepted</x:v>
      </x:c>
      <x:c r="C27" s="101" t="n">
        <x:v>3</x:v>
      </x:c>
      <x:c r="D27" s="101" t="str">
        <x:v>Japanese Grand Prix</x:v>
      </x:c>
      <x:c r="E27" s="101" t="str">
        <x:v>reconstructed</x:v>
      </x:c>
      <x:c r="F27" s="101" t="str"/>
      <x:c r="G27" s="101" t="str">
        <x:v>driver</x:v>
      </x:c>
      <x:c r="H27" s="101" t="str">
        <x:v>ALB</x:v>
      </x:c>
      <x:c r="I27" s="101" t="str">
        <x:v>LIN</x:v>
      </x:c>
      <x:c r="J27" s="102" t="n">
        <x:v>10.8</x:v>
      </x:c>
      <x:c r="K27" s="102" t="n">
        <x:v>7.4</x:v>
      </x:c>
      <x:c r="L27" s="102" t="n">
        <x:v>-3.4</x:v>
      </x:c>
      <x:c r="M27" s="104" t="n">
        <x:v>2.6</x:v>
      </x:c>
      <x:c r="N27" s="104" t="n">
        <x:v>10.4</x:v>
      </x:c>
      <x:c r="O27" s="104" t="n">
        <x:v>7.8</x:v>
      </x:c>
      <x:c r="P27" s="104" t="n">
        <x:v>-0.6</x:v>
      </x:c>
      <x:c r="Q27" s="104" t="n">
        <x:v>0.6</x:v>
      </x:c>
      <x:c r="R27" s="104" t="n">
        <x:v>1.2</x:v>
      </x:c>
      <x:c r="S27" s="104" t="n">
        <x:v>-6</x:v>
      </x:c>
      <x:c r="T27" s="104" t="n">
        <x:v>-2</x:v>
      </x:c>
      <x:c r="U27" s="104" t="n">
        <x:v>-4</x:v>
      </x:c>
      <x:c r="V27" s="104" t="n">
        <x:v>15.8</x:v>
      </x:c>
      <x:c r="W27" s="103" t="n">
        <x:v>0</x:v>
      </x:c>
      <x:c r="X27" s="105" t="str">
        <x:v>raised approximate per-asset strategy/risk utility by +15.8; projection +7.8 pts; forecast price change +1.2M; negative-P5 exposure -4.0; released $3.4M.</x:v>
      </x:c>
    </x:row>
    <x:row r="28" ht="44" customHeight="1">
      <x:c r="A28" s="101" t="str">
        <x:v>Max Points</x:v>
      </x:c>
      <x:c r="B28" s="101" t="str">
        <x:v>Minimal risk accepted</x:v>
      </x:c>
      <x:c r="C28" s="101" t="n">
        <x:v>6</x:v>
      </x:c>
      <x:c r="D28" s="101" t="str">
        <x:v>Miami Grand Prix</x:v>
      </x:c>
      <x:c r="E28" s="101" t="str">
        <x:v>genuine</x:v>
      </x:c>
      <x:c r="F28" s="101" t="str"/>
      <x:c r="G28" s="101" t="str">
        <x:v>driver</x:v>
      </x:c>
      <x:c r="H28" s="101" t="str">
        <x:v>BOR</x:v>
      </x:c>
      <x:c r="I28" s="101" t="str">
        <x:v>LEC</x:v>
      </x:c>
      <x:c r="J28" s="102" t="n">
        <x:v>5.8</x:v>
      </x:c>
      <x:c r="K28" s="102" t="n">
        <x:v>23.7</x:v>
      </x:c>
      <x:c r="L28" s="102" t="n">
        <x:v>17.9</x:v>
      </x:c>
      <x:c r="M28" s="104" t="n">
        <x:v>13.5</x:v>
      </x:c>
      <x:c r="N28" s="104" t="n">
        <x:v>47.4</x:v>
      </x:c>
      <x:c r="O28" s="104" t="n">
        <x:v>33.9</x:v>
      </x:c>
      <x:c r="P28" s="104" t="n">
        <x:v>-0.6</x:v>
      </x:c>
      <x:c r="Q28" s="104" t="n">
        <x:v>0.3</x:v>
      </x:c>
      <x:c r="R28" s="104" t="n">
        <x:v>0.9</x:v>
      </x:c>
      <x:c r="S28" s="104" t="n">
        <x:v>-10</x:v>
      </x:c>
      <x:c r="T28" s="104" t="n">
        <x:v>22</x:v>
      </x:c>
      <x:c r="U28" s="104" t="n">
        <x:v>-10</x:v>
      </x:c>
      <x:c r="V28" s="104" t="n">
        <x:v>53.9</x:v>
      </x:c>
      <x:c r="W28" s="103" t="n">
        <x:v>10</x:v>
      </x:c>
      <x:c r="X28" s="105" t="str">
        <x:v>raised approximate per-asset strategy/risk utility by +53.9; projection +33.9 pts; forecast price change +0.9M; negative-P5 exposure -10.0; spent $17.9M more.</x:v>
      </x:c>
    </x:row>
    <x:row r="29" ht="44" customHeight="1">
      <x:c r="A29" s="101" t="str">
        <x:v>Max Points</x:v>
      </x:c>
      <x:c r="B29" s="101" t="str">
        <x:v>Minimal risk accepted</x:v>
      </x:c>
      <x:c r="C29" s="101" t="n">
        <x:v>6</x:v>
      </x:c>
      <x:c r="D29" s="101" t="str">
        <x:v>Miami Grand Prix</x:v>
      </x:c>
      <x:c r="E29" s="101" t="str">
        <x:v>genuine</x:v>
      </x:c>
      <x:c r="F29" s="101" t="str"/>
      <x:c r="G29" s="101" t="str">
        <x:v>constructor</x:v>
      </x:c>
      <x:c r="H29" s="101" t="str">
        <x:v>mercedes</x:v>
      </x:c>
      <x:c r="I29" s="101" t="str">
        <x:v>ferrari</x:v>
      </x:c>
      <x:c r="J29" s="102" t="n">
        <x:v>30.2</x:v>
      </x:c>
      <x:c r="K29" s="102" t="n">
        <x:v>24.2</x:v>
      </x:c>
      <x:c r="L29" s="102" t="n">
        <x:v>-6</x:v>
      </x:c>
      <x:c r="M29" s="104" t="n">
        <x:v>108.1</x:v>
      </x:c>
      <x:c r="N29" s="104" t="n">
        <x:v>99.9</x:v>
      </x:c>
      <x:c r="O29" s="104" t="n">
        <x:v>-8.2</x:v>
      </x:c>
      <x:c r="P29" s="104" t="n">
        <x:v>0.3</x:v>
      </x:c>
      <x:c r="Q29" s="104" t="n">
        <x:v>0.3</x:v>
      </x:c>
      <x:c r="R29" s="104" t="n">
        <x:v>0</x:v>
      </x:c>
      <x:c r="S29" s="104" t="n">
        <x:v>69.5</x:v>
      </x:c>
      <x:c r="T29" s="104" t="n">
        <x:v>62.5</x:v>
      </x:c>
      <x:c r="U29" s="104" t="n">
        <x:v>0</x:v>
      </x:c>
      <x:c r="V29" s="104" t="n">
        <x:v>-8.2</x:v>
      </x:c>
      <x:c r="W29" s="103" t="n">
        <x:v>10</x:v>
      </x:c>
      <x:c r="X29" s="105" t="str">
        <x:v>was -8.2 utility on this explanatory pairing but enabled the higher-utility seven-asset lineup; gave up 8.2 projected pts; released $6.0M.</x:v>
      </x:c>
    </x:row>
    <x:row r="30" ht="44" customHeight="1">
      <x:c r="A30" s="101" t="str">
        <x:v>Max Points</x:v>
      </x:c>
      <x:c r="B30" s="101" t="str">
        <x:v>Minimal risk accepted</x:v>
      </x:c>
      <x:c r="C30" s="101" t="n">
        <x:v>7</x:v>
      </x:c>
      <x:c r="D30" s="101" t="str">
        <x:v>Canadian Grand Prix</x:v>
      </x:c>
      <x:c r="E30" s="101" t="str">
        <x:v>genuine</x:v>
      </x:c>
      <x:c r="F30" s="101" t="str"/>
      <x:c r="G30" s="101" t="str">
        <x:v>driver</x:v>
      </x:c>
      <x:c r="H30" s="101" t="str">
        <x:v>LEC</x:v>
      </x:c>
      <x:c r="I30" s="101" t="str">
        <x:v>BOR</x:v>
      </x:c>
      <x:c r="J30" s="102" t="n">
        <x:v>24</x:v>
      </x:c>
      <x:c r="K30" s="102" t="n">
        <x:v>5.2</x:v>
      </x:c>
      <x:c r="L30" s="102" t="n">
        <x:v>-18.8</x:v>
      </x:c>
      <x:c r="M30" s="104" t="n">
        <x:v>30.3</x:v>
      </x:c>
      <x:c r="N30" s="104" t="n">
        <x:v>6.9</x:v>
      </x:c>
      <x:c r="O30" s="104" t="n">
        <x:v>-23.4</x:v>
      </x:c>
      <x:c r="P30" s="104" t="n">
        <x:v>0.3</x:v>
      </x:c>
      <x:c r="Q30" s="104" t="n">
        <x:v>0.2</x:v>
      </x:c>
      <x:c r="R30" s="104" t="n">
        <x:v>-0.1</x:v>
      </x:c>
      <x:c r="S30" s="104" t="n">
        <x:v>13</x:v>
      </x:c>
      <x:c r="T30" s="104" t="n">
        <x:v>-10</x:v>
      </x:c>
      <x:c r="U30" s="104" t="n">
        <x:v>10</x:v>
      </x:c>
      <x:c r="V30" s="104" t="n">
        <x:v>-43.4</x:v>
      </x:c>
      <x:c r="W30" s="103" t="n">
        <x:v>10</x:v>
      </x:c>
      <x:c r="X30" s="105" t="str">
        <x:v>was -43.4 utility on this explanatory pairing but enabled the higher-utility seven-asset lineup; gave up 23.4 projected pts; forecast price change -0.1M; negative-P5 exposure +10.0; released $18.8M.</x:v>
      </x:c>
    </x:row>
    <x:row r="31" ht="44" customHeight="1">
      <x:c r="A31" s="101" t="str">
        <x:v>Max Points</x:v>
      </x:c>
      <x:c r="B31" s="101" t="str">
        <x:v>Minimal risk accepted</x:v>
      </x:c>
      <x:c r="C31" s="101" t="n">
        <x:v>7</x:v>
      </x:c>
      <x:c r="D31" s="101" t="str">
        <x:v>Canadian Grand Prix</x:v>
      </x:c>
      <x:c r="E31" s="101" t="str">
        <x:v>genuine</x:v>
      </x:c>
      <x:c r="F31" s="101" t="str"/>
      <x:c r="G31" s="101" t="str">
        <x:v>constructor</x:v>
      </x:c>
      <x:c r="H31" s="101" t="str">
        <x:v>haas</x:v>
      </x:c>
      <x:c r="I31" s="101" t="str">
        <x:v>mclaren</x:v>
      </x:c>
      <x:c r="J31" s="102" t="n">
        <x:v>9.8</x:v>
      </x:c>
      <x:c r="K31" s="102" t="n">
        <x:v>28.9</x:v>
      </x:c>
      <x:c r="L31" s="102" t="n">
        <x:v>19.1</x:v>
      </x:c>
      <x:c r="M31" s="104" t="n">
        <x:v>31.7</x:v>
      </x:c>
      <x:c r="N31" s="104" t="n">
        <x:v>101.1</x:v>
      </x:c>
      <x:c r="O31" s="104" t="n">
        <x:v>69.4</x:v>
      </x:c>
      <x:c r="P31" s="104" t="n">
        <x:v>0.6</x:v>
      </x:c>
      <x:c r="Q31" s="104" t="n">
        <x:v>0.3</x:v>
      </x:c>
      <x:c r="R31" s="104" t="n">
        <x:v>-0.3</x:v>
      </x:c>
      <x:c r="S31" s="104" t="n">
        <x:v>-4.5</x:v>
      </x:c>
      <x:c r="T31" s="104" t="n">
        <x:v>65.5</x:v>
      </x:c>
      <x:c r="U31" s="104" t="n">
        <x:v>-4.5</x:v>
      </x:c>
      <x:c r="V31" s="104" t="n">
        <x:v>78.4</x:v>
      </x:c>
      <x:c r="W31" s="103" t="n">
        <x:v>10</x:v>
      </x:c>
      <x:c r="X31" s="105" t="str">
        <x:v>raised approximate per-asset strategy/risk utility by +78.4; projection +69.4 pts; forecast price change -0.3M; negative-P5 exposure -4.5; spent $19.1M more.</x:v>
      </x:c>
    </x:row>
    <x:row r="32" ht="44" customHeight="1">
      <x:c r="A32" s="101" t="str">
        <x:v>Max Points</x:v>
      </x:c>
      <x:c r="B32" s="101" t="str">
        <x:v>Minimal risk accepted</x:v>
      </x:c>
      <x:c r="C32" s="101" t="n">
        <x:v>10</x:v>
      </x:c>
      <x:c r="D32" s="101" t="str">
        <x:v>Austrian Grand Prix</x:v>
      </x:c>
      <x:c r="E32" s="101" t="str">
        <x:v>genuine</x:v>
      </x:c>
      <x:c r="F32" s="101" t="str">
        <x:v>no negative</x:v>
      </x:c>
      <x:c r="G32" s="101" t="str">
        <x:v>driver</x:v>
      </x:c>
      <x:c r="H32" s="101" t="str">
        <x:v>ANT</x:v>
      </x:c>
      <x:c r="I32" s="101" t="str">
        <x:v>HAM</x:v>
      </x:c>
      <x:c r="J32" s="102" t="n">
        <x:v>25.3</x:v>
      </x:c>
      <x:c r="K32" s="102" t="n">
        <x:v>24.2</x:v>
      </x:c>
      <x:c r="L32" s="102" t="n">
        <x:v>-1.1</x:v>
      </x:c>
      <x:c r="M32" s="104" t="n">
        <x:v>27.7</x:v>
      </x:c>
      <x:c r="N32" s="104" t="n">
        <x:v>23.1</x:v>
      </x:c>
      <x:c r="O32" s="104" t="n">
        <x:v>-4.6</x:v>
      </x:c>
      <x:c r="P32" s="104" t="n">
        <x:v>0.1</x:v>
      </x:c>
      <x:c r="Q32" s="104" t="n">
        <x:v>0.3</x:v>
      </x:c>
      <x:c r="R32" s="104" t="n">
        <x:v>0.2</x:v>
      </x:c>
      <x:c r="S32" s="104" t="n">
        <x:v>-14.3</x:v>
      </x:c>
      <x:c r="T32" s="104" t="n">
        <x:v>11</x:v>
      </x:c>
      <x:c r="U32" s="104" t="n">
        <x:v>-14.3</x:v>
      </x:c>
      <x:c r="V32" s="104" t="n">
        <x:v>24</x:v>
      </x:c>
      <x:c r="W32" s="103" t="n">
        <x:v>0</x:v>
      </x:c>
      <x:c r="X32" s="105" t="str">
        <x:v>raised approximate per-asset strategy/risk utility by +24.0; gave up 4.6 projected pts; forecast price change +0.2M; negative-P5 exposure -14.3; released $1.1M; became the projected 2x captain.</x:v>
      </x:c>
    </x:row>
    <x:row r="33" ht="44" customHeight="1">
      <x:c r="A33" s="101" t="str">
        <x:v>Max Points</x:v>
      </x:c>
      <x:c r="B33" s="101" t="str">
        <x:v>Minimal risk accepted</x:v>
      </x:c>
      <x:c r="C33" s="101" t="n">
        <x:v>11</x:v>
      </x:c>
      <x:c r="D33" s="101" t="str">
        <x:v>British Grand Prix</x:v>
      </x:c>
      <x:c r="E33" s="101" t="str">
        <x:v>genuine</x:v>
      </x:c>
      <x:c r="F33" s="101" t="str">
        <x:v>autopilot</x:v>
      </x:c>
      <x:c r="G33" s="101" t="str">
        <x:v>driver</x:v>
      </x:c>
      <x:c r="H33" s="101" t="str">
        <x:v>COL</x:v>
      </x:c>
      <x:c r="I33" s="101" t="str">
        <x:v>ANT</x:v>
      </x:c>
      <x:c r="J33" s="102" t="n">
        <x:v>9.8</x:v>
      </x:c>
      <x:c r="K33" s="102" t="n">
        <x:v>25.4</x:v>
      </x:c>
      <x:c r="L33" s="102" t="n">
        <x:v>15.6</x:v>
      </x:c>
      <x:c r="M33" s="104" t="n">
        <x:v>10.1</x:v>
      </x:c>
      <x:c r="N33" s="104" t="n">
        <x:v>31.2</x:v>
      </x:c>
      <x:c r="O33" s="104" t="n">
        <x:v>21.1</x:v>
      </x:c>
      <x:c r="P33" s="104" t="n">
        <x:v>0.2</x:v>
      </x:c>
      <x:c r="Q33" s="104" t="n">
        <x:v>-0.1</x:v>
      </x:c>
      <x:c r="R33" s="104" t="n">
        <x:v>-0.3</x:v>
      </x:c>
      <x:c r="S33" s="104" t="n">
        <x:v>-10.7</x:v>
      </x:c>
      <x:c r="T33" s="104" t="n">
        <x:v>0</x:v>
      </x:c>
      <x:c r="U33" s="104" t="n">
        <x:v>-10.7</x:v>
      </x:c>
      <x:c r="V33" s="104" t="n">
        <x:v>42.5</x:v>
      </x:c>
      <x:c r="W33" s="103" t="n">
        <x:v>0</x:v>
      </x:c>
      <x:c r="X33" s="105" t="str">
        <x:v>raised approximate per-asset strategy/risk utility by +42.5; projection +21.1 pts; forecast price change -0.3M; negative-P5 exposure -10.7; spent $15.6M more; became the projected 2x captain.</x:v>
      </x:c>
    </x:row>
    <x:row r="34" ht="44" customHeight="1">
      <x:c r="A34" s="101" t="str">
        <x:v>Max Points</x:v>
      </x:c>
      <x:c r="B34" s="101" t="str">
        <x:v>Minimal risk accepted</x:v>
      </x:c>
      <x:c r="C34" s="101" t="n">
        <x:v>11</x:v>
      </x:c>
      <x:c r="D34" s="101" t="str">
        <x:v>British Grand Prix</x:v>
      </x:c>
      <x:c r="E34" s="101" t="str">
        <x:v>genuine</x:v>
      </x:c>
      <x:c r="F34" s="101" t="str">
        <x:v>autopilot</x:v>
      </x:c>
      <x:c r="G34" s="101" t="str">
        <x:v>driver</x:v>
      </x:c>
      <x:c r="H34" s="101" t="str">
        <x:v>HAM</x:v>
      </x:c>
      <x:c r="I34" s="101" t="str">
        <x:v>VER</x:v>
      </x:c>
      <x:c r="J34" s="102" t="n">
        <x:v>24.5</x:v>
      </x:c>
      <x:c r="K34" s="102" t="n">
        <x:v>27.9</x:v>
      </x:c>
      <x:c r="L34" s="102" t="n">
        <x:v>3.4</x:v>
      </x:c>
      <x:c r="M34" s="104" t="n">
        <x:v>30.2</x:v>
      </x:c>
      <x:c r="N34" s="104" t="n">
        <x:v>34.7</x:v>
      </x:c>
      <x:c r="O34" s="104" t="n">
        <x:v>4.5</x:v>
      </x:c>
      <x:c r="P34" s="104" t="n">
        <x:v>0.3</x:v>
      </x:c>
      <x:c r="Q34" s="104" t="n">
        <x:v>0.1</x:v>
      </x:c>
      <x:c r="R34" s="104" t="n">
        <x:v>-0.2</x:v>
      </x:c>
      <x:c r="S34" s="104" t="n">
        <x:v>-2</x:v>
      </x:c>
      <x:c r="T34" s="104" t="n">
        <x:v>0</x:v>
      </x:c>
      <x:c r="U34" s="104" t="n">
        <x:v>-2</x:v>
      </x:c>
      <x:c r="V34" s="104" t="n">
        <x:v>8.5</x:v>
      </x:c>
      <x:c r="W34" s="103" t="n">
        <x:v>0</x:v>
      </x:c>
      <x:c r="X34" s="105" t="str">
        <x:v>raised approximate per-asset strategy/risk utility by +8.5; projection +4.5 pts; forecast price change -0.2M; negative-P5 exposure -2.0; spent $3.4M more.</x:v>
      </x:c>
    </x:row>
    <x:row r="35" ht="44" customHeight="1">
      <x:c r="A35" s="101" t="str">
        <x:v>Max Points</x:v>
      </x:c>
      <x:c r="B35" s="101" t="str">
        <x:v>Minimal risk accepted</x:v>
      </x:c>
      <x:c r="C35" s="101" t="n">
        <x:v>11</x:v>
      </x:c>
      <x:c r="D35" s="101" t="str">
        <x:v>British Grand Prix</x:v>
      </x:c>
      <x:c r="E35" s="101" t="str">
        <x:v>genuine</x:v>
      </x:c>
      <x:c r="F35" s="101" t="str">
        <x:v>autopilot</x:v>
      </x:c>
      <x:c r="G35" s="101" t="str">
        <x:v>constructor</x:v>
      </x:c>
      <x:c r="H35" s="101" t="str">
        <x:v>mclaren</x:v>
      </x:c>
      <x:c r="I35" s="101" t="str">
        <x:v>racing_bulls</x:v>
      </x:c>
      <x:c r="J35" s="102" t="n">
        <x:v>30.1</x:v>
      </x:c>
      <x:c r="K35" s="102" t="n">
        <x:v>11.1</x:v>
      </x:c>
      <x:c r="L35" s="102" t="n">
        <x:v>-19</x:v>
      </x:c>
      <x:c r="M35" s="104" t="n">
        <x:v>45.8</x:v>
      </x:c>
      <x:c r="N35" s="104" t="n">
        <x:v>31</x:v>
      </x:c>
      <x:c r="O35" s="104" t="n">
        <x:v>-14.8</x:v>
      </x:c>
      <x:c r="P35" s="104" t="n">
        <x:v>0.3</x:v>
      </x:c>
      <x:c r="Q35" s="104" t="n">
        <x:v>0.6</x:v>
      </x:c>
      <x:c r="R35" s="104" t="n">
        <x:v>0.3</x:v>
      </x:c>
      <x:c r="S35" s="104" t="n">
        <x:v>5</x:v>
      </x:c>
      <x:c r="T35" s="104" t="n">
        <x:v>-2.2</x:v>
      </x:c>
      <x:c r="U35" s="104" t="n">
        <x:v>2.2</x:v>
      </x:c>
      <x:c r="V35" s="104" t="n">
        <x:v>-19.2</x:v>
      </x:c>
      <x:c r="W35" s="103" t="n">
        <x:v>0</x:v>
      </x:c>
      <x:c r="X35" s="105" t="str">
        <x:v>was -19.2 utility on this explanatory pairing but enabled the higher-utility seven-asset lineup; gave up 14.8 projected pts; forecast price change +0.3M; negative-P5 exposure +2.2; released $19.0M.</x:v>
      </x:c>
    </x:row>
    <x:row r="36" ht="44" customHeight="1">
      <x:c r="A36" s="101" t="str">
        <x:v>Max Points</x:v>
      </x:c>
      <x:c r="B36" s="101" t="str">
        <x:v>Minimal risk accepted</x:v>
      </x:c>
      <x:c r="C36" s="101" t="n">
        <x:v>12</x:v>
      </x:c>
      <x:c r="D36" s="101" t="str">
        <x:v>Belgian Grand Prix</x:v>
      </x:c>
      <x:c r="E36" s="101" t="str">
        <x:v>genuine</x:v>
      </x:c>
      <x:c r="F36" s="101" t="str">
        <x:v>wild card</x:v>
      </x:c>
      <x:c r="G36" s="101" t="str">
        <x:v>driver</x:v>
      </x:c>
      <x:c r="H36" s="101" t="str">
        <x:v>ANT</x:v>
      </x:c>
      <x:c r="I36" s="101" t="str">
        <x:v>HAD</x:v>
      </x:c>
      <x:c r="J36" s="102" t="n">
        <x:v>25.3</x:v>
      </x:c>
      <x:c r="K36" s="102" t="n">
        <x:v>13.3</x:v>
      </x:c>
      <x:c r="L36" s="102" t="n">
        <x:v>-12</x:v>
      </x:c>
      <x:c r="M36" s="104" t="n">
        <x:v>22.7</x:v>
      </x:c>
      <x:c r="N36" s="104" t="n">
        <x:v>33.3</x:v>
      </x:c>
      <x:c r="O36" s="104" t="n">
        <x:v>10.6</x:v>
      </x:c>
      <x:c r="P36" s="104" t="n">
        <x:v>0.1</x:v>
      </x:c>
      <x:c r="Q36" s="104" t="n">
        <x:v>0.6</x:v>
      </x:c>
      <x:c r="R36" s="104" t="n">
        <x:v>0.5</x:v>
      </x:c>
      <x:c r="S36" s="104" t="n">
        <x:v>-7.3</x:v>
      </x:c>
      <x:c r="T36" s="104" t="n">
        <x:v>-14.7</x:v>
      </x:c>
      <x:c r="U36" s="104" t="n">
        <x:v>7.4</x:v>
      </x:c>
      <x:c r="V36" s="104" t="n">
        <x:v>-4.2</x:v>
      </x:c>
      <x:c r="W36" s="103" t="n">
        <x:v>0</x:v>
      </x:c>
      <x:c r="X36" s="105" t="str">
        <x:v>Wild Card made the permanent rebuild free; Forecasted competitive-order change called for 5 lineup changes and a 27.6-utility improvement; this is the upgrade/order-shift proxy.; was -4.2 utility on this explanatory pairing but enabled the higher-utility seven-asset lineup; projection +10.6 pts; forecast price change +0.5M; negative-P5 exposure +7.4; released $12.0M; became the projected 2x captain.</x:v>
      </x:c>
    </x:row>
    <x:row r="37" ht="44" customHeight="1">
      <x:c r="A37" s="101" t="str">
        <x:v>Max Points</x:v>
      </x:c>
      <x:c r="B37" s="101" t="str">
        <x:v>Minimal risk accepted</x:v>
      </x:c>
      <x:c r="C37" s="101" t="n">
        <x:v>12</x:v>
      </x:c>
      <x:c r="D37" s="101" t="str">
        <x:v>Belgian Grand Prix</x:v>
      </x:c>
      <x:c r="E37" s="101" t="str">
        <x:v>genuine</x:v>
      </x:c>
      <x:c r="F37" s="101" t="str">
        <x:v>wild card</x:v>
      </x:c>
      <x:c r="G37" s="101" t="str">
        <x:v>driver</x:v>
      </x:c>
      <x:c r="H37" s="101" t="str">
        <x:v>BOR</x:v>
      </x:c>
      <x:c r="I37" s="101" t="str">
        <x:v>HUL</x:v>
      </x:c>
      <x:c r="J37" s="102" t="n">
        <x:v>6.6</x:v>
      </x:c>
      <x:c r="K37" s="102" t="n">
        <x:v>3</x:v>
      </x:c>
      <x:c r="L37" s="102" t="n">
        <x:v>-3.6</x:v>
      </x:c>
      <x:c r="M37" s="104" t="n">
        <x:v>1.9</x:v>
      </x:c>
      <x:c r="N37" s="104" t="n">
        <x:v>-2.7</x:v>
      </x:c>
      <x:c r="O37" s="104" t="n">
        <x:v>-4.6</x:v>
      </x:c>
      <x:c r="P37" s="104" t="n">
        <x:v>0.2</x:v>
      </x:c>
      <x:c r="Q37" s="104" t="n">
        <x:v>0</x:v>
      </x:c>
      <x:c r="R37" s="104" t="n">
        <x:v>-0.2</x:v>
      </x:c>
      <x:c r="S37" s="104" t="n">
        <x:v>-15</x:v>
      </x:c>
      <x:c r="T37" s="104" t="n">
        <x:v>-18.9</x:v>
      </x:c>
      <x:c r="U37" s="104" t="n">
        <x:v>3.9</x:v>
      </x:c>
      <x:c r="V37" s="104" t="n">
        <x:v>-12.4</x:v>
      </x:c>
      <x:c r="W37" s="103" t="n">
        <x:v>0</x:v>
      </x:c>
      <x:c r="X37" s="105" t="str">
        <x:v>Wild Card made the permanent rebuild free; Forecasted competitive-order change called for 5 lineup changes and a 27.6-utility improvement; this is the upgrade/order-shift proxy.; was -12.4 utility on this explanatory pairing but enabled the higher-utility seven-asset lineup; gave up 4.6 projected pts; forecast price change -0.2M; negative-P5 exposure +3.9; released $3.6M.</x:v>
      </x:c>
    </x:row>
    <x:row r="38" ht="44" customHeight="1">
      <x:c r="A38" s="101" t="str">
        <x:v>Max Points</x:v>
      </x:c>
      <x:c r="B38" s="101" t="str">
        <x:v>Minimal risk accepted</x:v>
      </x:c>
      <x:c r="C38" s="101" t="n">
        <x:v>12</x:v>
      </x:c>
      <x:c r="D38" s="101" t="str">
        <x:v>Belgian Grand Prix</x:v>
      </x:c>
      <x:c r="E38" s="101" t="str">
        <x:v>genuine</x:v>
      </x:c>
      <x:c r="F38" s="101" t="str">
        <x:v>wild card</x:v>
      </x:c>
      <x:c r="G38" s="101" t="str">
        <x:v>driver</x:v>
      </x:c>
      <x:c r="H38" s="101" t="str">
        <x:v>OCO</x:v>
      </x:c>
      <x:c r="I38" s="101" t="str">
        <x:v>COL</x:v>
      </x:c>
      <x:c r="J38" s="102" t="n">
        <x:v>10.3</x:v>
      </x:c>
      <x:c r="K38" s="102" t="n">
        <x:v>10.4</x:v>
      </x:c>
      <x:c r="L38" s="102" t="n">
        <x:v>0.1</x:v>
      </x:c>
      <x:c r="M38" s="104" t="n">
        <x:v>3.2</x:v>
      </x:c>
      <x:c r="N38" s="104" t="n">
        <x:v>2.7</x:v>
      </x:c>
      <x:c r="O38" s="104" t="n">
        <x:v>-0.5</x:v>
      </x:c>
      <x:c r="P38" s="104" t="n">
        <x:v>0.2</x:v>
      </x:c>
      <x:c r="Q38" s="104" t="n">
        <x:v>0.6</x:v>
      </x:c>
      <x:c r="R38" s="104" t="n">
        <x:v>0.4</x:v>
      </x:c>
      <x:c r="S38" s="104" t="n">
        <x:v>-15.4</x:v>
      </x:c>
      <x:c r="T38" s="104" t="n">
        <x:v>-14.7</x:v>
      </x:c>
      <x:c r="U38" s="104" t="n">
        <x:v>-0.7</x:v>
      </x:c>
      <x:c r="V38" s="104" t="n">
        <x:v>0.9</x:v>
      </x:c>
      <x:c r="W38" s="103" t="n">
        <x:v>0</x:v>
      </x:c>
      <x:c r="X38" s="105" t="str">
        <x:v>Wild Card made the permanent rebuild free; Forecasted competitive-order change called for 5 lineup changes and a 27.6-utility improvement; this is the upgrade/order-shift proxy.; raised approximate per-asset strategy/risk utility by +0.9; gave up 0.5 projected pts; forecast price change +0.4M; negative-P5 exposure -0.7; spent $0.1M more.</x:v>
      </x:c>
    </x:row>
    <x:row r="39" ht="44" customHeight="1">
      <x:c r="A39" s="101" t="str">
        <x:v>Max Points</x:v>
      </x:c>
      <x:c r="B39" s="101" t="str">
        <x:v>Minimal risk accepted</x:v>
      </x:c>
      <x:c r="C39" s="101" t="n">
        <x:v>12</x:v>
      </x:c>
      <x:c r="D39" s="101" t="str">
        <x:v>Belgian Grand Prix</x:v>
      </x:c>
      <x:c r="E39" s="101" t="str">
        <x:v>genuine</x:v>
      </x:c>
      <x:c r="F39" s="101" t="str">
        <x:v>wild card</x:v>
      </x:c>
      <x:c r="G39" s="101" t="str">
        <x:v>driver</x:v>
      </x:c>
      <x:c r="H39" s="101" t="str">
        <x:v>VER</x:v>
      </x:c>
      <x:c r="I39" s="101" t="str">
        <x:v>HAM</x:v>
      </x:c>
      <x:c r="J39" s="102" t="n">
        <x:v>27.8</x:v>
      </x:c>
      <x:c r="K39" s="102" t="n">
        <x:v>24.8</x:v>
      </x:c>
      <x:c r="L39" s="102" t="n">
        <x:v>-3</x:v>
      </x:c>
      <x:c r="M39" s="104" t="n">
        <x:v>24.3</x:v>
      </x:c>
      <x:c r="N39" s="104" t="n">
        <x:v>25.1</x:v>
      </x:c>
      <x:c r="O39" s="104" t="n">
        <x:v>0.8</x:v>
      </x:c>
      <x:c r="P39" s="104" t="n">
        <x:v>-0.1</x:v>
      </x:c>
      <x:c r="Q39" s="104" t="n">
        <x:v>0.1</x:v>
      </x:c>
      <x:c r="R39" s="104" t="n">
        <x:v>0.2</x:v>
      </x:c>
      <x:c r="S39" s="104" t="n">
        <x:v>-10.5</x:v>
      </x:c>
      <x:c r="T39" s="104" t="n">
        <x:v>-8.4</x:v>
      </x:c>
      <x:c r="U39" s="104" t="n">
        <x:v>-2.1</x:v>
      </x:c>
      <x:c r="V39" s="104" t="n">
        <x:v>5</x:v>
      </x:c>
      <x:c r="W39" s="103" t="n">
        <x:v>0</x:v>
      </x:c>
      <x:c r="X39" s="105" t="str">
        <x:v>Wild Card made the permanent rebuild free; Forecasted competitive-order change called for 5 lineup changes and a 27.6-utility improvement; this is the upgrade/order-shift proxy.; raised approximate per-asset strategy/risk utility by +5.0; projection +0.8 pts; forecast price change +0.2M; negative-P5 exposure -2.1; released $3.0M.</x:v>
      </x:c>
    </x:row>
    <x:row r="40" ht="44" customHeight="1">
      <x:c r="A40" s="101" t="str">
        <x:v>Max Points</x:v>
      </x:c>
      <x:c r="B40" s="101" t="str">
        <x:v>Minimal risk accepted</x:v>
      </x:c>
      <x:c r="C40" s="101" t="n">
        <x:v>12</x:v>
      </x:c>
      <x:c r="D40" s="101" t="str">
        <x:v>Belgian Grand Prix</x:v>
      </x:c>
      <x:c r="E40" s="101" t="str">
        <x:v>genuine</x:v>
      </x:c>
      <x:c r="F40" s="101" t="str">
        <x:v>wild card</x:v>
      </x:c>
      <x:c r="G40" s="101" t="str">
        <x:v>constructor</x:v>
      </x:c>
      <x:c r="H40" s="101" t="str">
        <x:v>racing_bulls</x:v>
      </x:c>
      <x:c r="I40" s="101" t="str">
        <x:v>red_bull</x:v>
      </x:c>
      <x:c r="J40" s="102" t="n">
        <x:v>11.7</x:v>
      </x:c>
      <x:c r="K40" s="102" t="n">
        <x:v>30.3</x:v>
      </x:c>
      <x:c r="L40" s="102" t="n">
        <x:v>18.6</x:v>
      </x:c>
      <x:c r="M40" s="104" t="n">
        <x:v>16.4</x:v>
      </x:c>
      <x:c r="N40" s="104" t="n">
        <x:v>68.4</x:v>
      </x:c>
      <x:c r="O40" s="104" t="n">
        <x:v>52</x:v>
      </x:c>
      <x:c r="P40" s="104" t="n">
        <x:v>0.6</x:v>
      </x:c>
      <x:c r="Q40" s="104" t="n">
        <x:v>0.3</x:v>
      </x:c>
      <x:c r="R40" s="104" t="n">
        <x:v>-0.3</x:v>
      </x:c>
      <x:c r="S40" s="104" t="n">
        <x:v>-6.4</x:v>
      </x:c>
      <x:c r="T40" s="104" t="n">
        <x:v>12.9</x:v>
      </x:c>
      <x:c r="U40" s="104" t="n">
        <x:v>-6.4</x:v>
      </x:c>
      <x:c r="V40" s="104" t="n">
        <x:v>64.8</x:v>
      </x:c>
      <x:c r="W40" s="103" t="n">
        <x:v>0</x:v>
      </x:c>
      <x:c r="X40" s="105" t="str">
        <x:v>Wild Card made the permanent rebuild free; Forecasted competitive-order change called for 5 lineup changes and a 27.6-utility improvement; this is the upgrade/order-shift proxy.; raised approximate per-asset strategy/risk utility by +64.8; projection +52.0 pts; forecast price change -0.3M; negative-P5 exposure -6.4; spent $18.6M more.</x:v>
      </x:c>
    </x:row>
    <x:row r="41" ht="44" customHeight="1">
      <x:c r="A41" s="101" t="str">
        <x:v>Max Points</x:v>
      </x:c>
      <x:c r="B41" s="101" t="str">
        <x:v>Minimal risk accepted</x:v>
      </x:c>
      <x:c r="C41" s="101" t="n">
        <x:v>13</x:v>
      </x:c>
      <x:c r="D41" s="101" t="str">
        <x:v>Hungarian Grand Prix</x:v>
      </x:c>
      <x:c r="E41" s="101" t="str">
        <x:v>genuine</x:v>
      </x:c>
      <x:c r="F41" s="101" t="str"/>
      <x:c r="G41" s="101" t="str">
        <x:v>driver</x:v>
      </x:c>
      <x:c r="H41" s="101" t="str">
        <x:v>COL</x:v>
      </x:c>
      <x:c r="I41" s="101" t="str">
        <x:v>LAW</x:v>
      </x:c>
      <x:c r="J41" s="102" t="n">
        <x:v>11</x:v>
      </x:c>
      <x:c r="K41" s="102" t="n">
        <x:v>9.7</x:v>
      </x:c>
      <x:c r="L41" s="102" t="n">
        <x:v>-1.3</x:v>
      </x:c>
      <x:c r="M41" s="104" t="n">
        <x:v>1.5</x:v>
      </x:c>
      <x:c r="N41" s="104" t="n">
        <x:v>3.7</x:v>
      </x:c>
      <x:c r="O41" s="104" t="n">
        <x:v>2.2</x:v>
      </x:c>
      <x:c r="P41" s="104" t="n">
        <x:v>0.2</x:v>
      </x:c>
      <x:c r="Q41" s="104" t="n">
        <x:v>0.2</x:v>
      </x:c>
      <x:c r="R41" s="104" t="n">
        <x:v>0</x:v>
      </x:c>
      <x:c r="S41" s="104" t="n">
        <x:v>-15</x:v>
      </x:c>
      <x:c r="T41" s="104" t="n">
        <x:v>-15.2</x:v>
      </x:c>
      <x:c r="U41" s="104" t="n">
        <x:v>0.2</x:v>
      </x:c>
      <x:c r="V41" s="104" t="n">
        <x:v>1.8</x:v>
      </x:c>
      <x:c r="W41" s="103" t="n">
        <x:v>0</x:v>
      </x:c>
      <x:c r="X41" s="105" t="str">
        <x:v>raised approximate per-asset strategy/risk utility by +1.8; projection +2.2 pts; negative-P5 exposure +0.2; released $1.3M.</x:v>
      </x:c>
    </x:row>
    <x:row r="42" ht="44" customHeight="1">
      <x:c r="A42" s="101" t="str">
        <x:v>Max Points</x:v>
      </x:c>
      <x:c r="B42" s="101" t="str">
        <x:v>Minimal risk accepted</x:v>
      </x:c>
      <x:c r="C42" s="101" t="n">
        <x:v>13</x:v>
      </x:c>
      <x:c r="D42" s="101" t="str">
        <x:v>Hungarian Grand Prix</x:v>
      </x:c>
      <x:c r="E42" s="101" t="str">
        <x:v>genuine</x:v>
      </x:c>
      <x:c r="F42" s="101" t="str"/>
      <x:c r="G42" s="101" t="str">
        <x:v>constructor</x:v>
      </x:c>
      <x:c r="H42" s="101" t="str">
        <x:v>red_bull</x:v>
      </x:c>
      <x:c r="I42" s="101" t="str">
        <x:v>mclaren</x:v>
      </x:c>
      <x:c r="J42" s="102" t="n">
        <x:v>30.6</x:v>
      </x:c>
      <x:c r="K42" s="102" t="n">
        <x:v>30.7</x:v>
      </x:c>
      <x:c r="L42" s="102" t="n">
        <x:v>0.1</x:v>
      </x:c>
      <x:c r="M42" s="104" t="n">
        <x:v>31.1</x:v>
      </x:c>
      <x:c r="N42" s="104" t="n">
        <x:v>51.8</x:v>
      </x:c>
      <x:c r="O42" s="104" t="n">
        <x:v>20.7</x:v>
      </x:c>
      <x:c r="P42" s="104" t="n">
        <x:v>0.3</x:v>
      </x:c>
      <x:c r="Q42" s="104" t="n">
        <x:v>0.3</x:v>
      </x:c>
      <x:c r="R42" s="104" t="n">
        <x:v>0</x:v>
      </x:c>
      <x:c r="S42" s="104" t="n">
        <x:v>2.5</x:v>
      </x:c>
      <x:c r="T42" s="104" t="n">
        <x:v>15.3</x:v>
      </x:c>
      <x:c r="U42" s="104" t="n">
        <x:v>0</x:v>
      </x:c>
      <x:c r="V42" s="104" t="n">
        <x:v>20.7</x:v>
      </x:c>
      <x:c r="W42" s="103" t="n">
        <x:v>0</x:v>
      </x:c>
      <x:c r="X42" s="105" t="str">
        <x:v>raised approximate per-asset strategy/risk utility by +20.7; projection +20.7 pts; spent $0.1M more.</x:v>
      </x:c>
    </x:row>
    <x:row r="43" ht="44" customHeight="1">
      <x:c r="A43" s="101" t="str">
        <x:v>Max Points</x:v>
      </x:c>
      <x:c r="B43" s="101" t="str">
        <x:v>Medium tolerance</x:v>
      </x:c>
      <x:c r="C43" s="101" t="n">
        <x:v>2</x:v>
      </x:c>
      <x:c r="D43" s="101" t="str">
        <x:v>Chinese Grand Prix</x:v>
      </x:c>
      <x:c r="E43" s="101" t="str">
        <x:v>reconstructed</x:v>
      </x:c>
      <x:c r="F43" s="101" t="str"/>
      <x:c r="G43" s="101" t="str">
        <x:v>driver</x:v>
      </x:c>
      <x:c r="H43" s="101" t="str">
        <x:v>LIN</x:v>
      </x:c>
      <x:c r="I43" s="101" t="str">
        <x:v>COL</x:v>
      </x:c>
      <x:c r="J43" s="102" t="n">
        <x:v>7.4</x:v>
      </x:c>
      <x:c r="K43" s="102" t="n">
        <x:v>7</x:v>
      </x:c>
      <x:c r="L43" s="102" t="n">
        <x:v>-0.4</x:v>
      </x:c>
      <x:c r="M43" s="104" t="n">
        <x:v>10.2</x:v>
      </x:c>
      <x:c r="N43" s="104" t="n">
        <x:v>15.8</x:v>
      </x:c>
      <x:c r="O43" s="104" t="n">
        <x:v>5.6</x:v>
      </x:c>
      <x:c r="P43" s="104" t="n">
        <x:v>0.6</x:v>
      </x:c>
      <x:c r="Q43" s="104" t="n">
        <x:v>0.6</x:v>
      </x:c>
      <x:c r="R43" s="104" t="n">
        <x:v>0</x:v>
      </x:c>
      <x:c r="S43" s="104" t="n">
        <x:v>-10</x:v>
      </x:c>
      <x:c r="T43" s="104" t="n">
        <x:v>-6</x:v>
      </x:c>
      <x:c r="U43" s="104" t="n">
        <x:v>-4</x:v>
      </x:c>
      <x:c r="V43" s="104" t="n">
        <x:v>8.6</x:v>
      </x:c>
      <x:c r="W43" s="103" t="n">
        <x:v>0</x:v>
      </x:c>
      <x:c r="X43" s="105" t="str">
        <x:v>raised approximate per-asset strategy/risk utility by +8.6; projection +5.6 pts; negative-P5 exposure -4.0; released $0.4M.</x:v>
      </x:c>
    </x:row>
    <x:row r="44" ht="44" customHeight="1">
      <x:c r="A44" s="101" t="str">
        <x:v>Max Points</x:v>
      </x:c>
      <x:c r="B44" s="101" t="str">
        <x:v>Medium tolerance</x:v>
      </x:c>
      <x:c r="C44" s="101" t="n">
        <x:v>2</x:v>
      </x:c>
      <x:c r="D44" s="101" t="str">
        <x:v>Chinese Grand Prix</x:v>
      </x:c>
      <x:c r="E44" s="101" t="str">
        <x:v>reconstructed</x:v>
      </x:c>
      <x:c r="F44" s="101" t="str"/>
      <x:c r="G44" s="101" t="str">
        <x:v>driver</x:v>
      </x:c>
      <x:c r="H44" s="101" t="str">
        <x:v>RUS</x:v>
      </x:c>
      <x:c r="I44" s="101" t="str">
        <x:v>ANT</x:v>
      </x:c>
      <x:c r="J44" s="102" t="n">
        <x:v>28</x:v>
      </x:c>
      <x:c r="K44" s="102" t="n">
        <x:v>23.8</x:v>
      </x:c>
      <x:c r="L44" s="102" t="n">
        <x:v>-4.2</x:v>
      </x:c>
      <x:c r="M44" s="104" t="n">
        <x:v>45.5</x:v>
      </x:c>
      <x:c r="N44" s="104" t="n">
        <x:v>48.2</x:v>
      </x:c>
      <x:c r="O44" s="104" t="n">
        <x:v>2.7</x:v>
      </x:c>
      <x:c r="P44" s="104" t="n">
        <x:v>0.3</x:v>
      </x:c>
      <x:c r="Q44" s="104" t="n">
        <x:v>0.3</x:v>
      </x:c>
      <x:c r="R44" s="104" t="n">
        <x:v>0</x:v>
      </x:c>
      <x:c r="S44" s="104" t="n">
        <x:v>19</x:v>
      </x:c>
      <x:c r="T44" s="104" t="n">
        <x:v>19</x:v>
      </x:c>
      <x:c r="U44" s="104" t="n">
        <x:v>0</x:v>
      </x:c>
      <x:c r="V44" s="104" t="n">
        <x:v>2.7</x:v>
      </x:c>
      <x:c r="W44" s="103" t="n">
        <x:v>0</x:v>
      </x:c>
      <x:c r="X44" s="105" t="str">
        <x:v>raised approximate per-asset strategy/risk utility by +2.7; projection +2.7 pts; released $4.2M; became the projected 2x captain.</x:v>
      </x:c>
    </x:row>
    <x:row r="45" ht="44" customHeight="1">
      <x:c r="A45" s="101" t="str">
        <x:v>Max Points</x:v>
      </x:c>
      <x:c r="B45" s="101" t="str">
        <x:v>Medium tolerance</x:v>
      </x:c>
      <x:c r="C45" s="101" t="n">
        <x:v>3</x:v>
      </x:c>
      <x:c r="D45" s="101" t="str">
        <x:v>Japanese Grand Prix</x:v>
      </x:c>
      <x:c r="E45" s="101" t="str">
        <x:v>reconstructed</x:v>
      </x:c>
      <x:c r="F45" s="101" t="str"/>
      <x:c r="G45" s="101" t="str">
        <x:v>driver</x:v>
      </x:c>
      <x:c r="H45" s="101" t="str">
        <x:v>ALB</x:v>
      </x:c>
      <x:c r="I45" s="101" t="str">
        <x:v>LIN</x:v>
      </x:c>
      <x:c r="J45" s="102" t="n">
        <x:v>10.8</x:v>
      </x:c>
      <x:c r="K45" s="102" t="n">
        <x:v>7.4</x:v>
      </x:c>
      <x:c r="L45" s="102" t="n">
        <x:v>-3.4</x:v>
      </x:c>
      <x:c r="M45" s="104" t="n">
        <x:v>2.6</x:v>
      </x:c>
      <x:c r="N45" s="104" t="n">
        <x:v>10.4</x:v>
      </x:c>
      <x:c r="O45" s="104" t="n">
        <x:v>7.8</x:v>
      </x:c>
      <x:c r="P45" s="104" t="n">
        <x:v>-0.6</x:v>
      </x:c>
      <x:c r="Q45" s="104" t="n">
        <x:v>0.6</x:v>
      </x:c>
      <x:c r="R45" s="104" t="n">
        <x:v>1.2</x:v>
      </x:c>
      <x:c r="S45" s="104" t="n">
        <x:v>-6</x:v>
      </x:c>
      <x:c r="T45" s="104" t="n">
        <x:v>-2</x:v>
      </x:c>
      <x:c r="U45" s="104" t="n">
        <x:v>-4</x:v>
      </x:c>
      <x:c r="V45" s="104" t="n">
        <x:v>10.8</x:v>
      </x:c>
      <x:c r="W45" s="103" t="n">
        <x:v>0</x:v>
      </x:c>
      <x:c r="X45" s="105" t="str">
        <x:v>raised approximate per-asset strategy/risk utility by +10.8; projection +7.8 pts; forecast price change +1.2M; negative-P5 exposure -4.0; released $3.4M.</x:v>
      </x:c>
    </x:row>
    <x:row r="46" ht="44" customHeight="1">
      <x:c r="A46" s="101" t="str">
        <x:v>Max Points</x:v>
      </x:c>
      <x:c r="B46" s="101" t="str">
        <x:v>Medium tolerance</x:v>
      </x:c>
      <x:c r="C46" s="101" t="n">
        <x:v>6</x:v>
      </x:c>
      <x:c r="D46" s="101" t="str">
        <x:v>Miami Grand Prix</x:v>
      </x:c>
      <x:c r="E46" s="101" t="str">
        <x:v>genuine</x:v>
      </x:c>
      <x:c r="F46" s="101" t="str"/>
      <x:c r="G46" s="101" t="str">
        <x:v>driver</x:v>
      </x:c>
      <x:c r="H46" s="101" t="str">
        <x:v>COL</x:v>
      </x:c>
      <x:c r="I46" s="101" t="str">
        <x:v>LEC</x:v>
      </x:c>
      <x:c r="J46" s="102" t="n">
        <x:v>7.6</x:v>
      </x:c>
      <x:c r="K46" s="102" t="n">
        <x:v>23.7</x:v>
      </x:c>
      <x:c r="L46" s="102" t="n">
        <x:v>16.1</x:v>
      </x:c>
      <x:c r="M46" s="104" t="n">
        <x:v>12.2</x:v>
      </x:c>
      <x:c r="N46" s="104" t="n">
        <x:v>47.4</x:v>
      </x:c>
      <x:c r="O46" s="104" t="n">
        <x:v>35.2</x:v>
      </x:c>
      <x:c r="P46" s="104" t="n">
        <x:v>0.6</x:v>
      </x:c>
      <x:c r="Q46" s="104" t="n">
        <x:v>0.3</x:v>
      </x:c>
      <x:c r="R46" s="104" t="n">
        <x:v>-0.3</x:v>
      </x:c>
      <x:c r="S46" s="104" t="n">
        <x:v>-5</x:v>
      </x:c>
      <x:c r="T46" s="104" t="n">
        <x:v>22</x:v>
      </x:c>
      <x:c r="U46" s="104" t="n">
        <x:v>-5</x:v>
      </x:c>
      <x:c r="V46" s="104" t="n">
        <x:v>38.95</x:v>
      </x:c>
      <x:c r="W46" s="103" t="n">
        <x:v>10</x:v>
      </x:c>
      <x:c r="X46" s="105" t="str">
        <x:v>raised approximate per-asset strategy/risk utility by +39.0; projection +35.2 pts; forecast price change -0.3M; negative-P5 exposure -5.0; spent $16.1M more.</x:v>
      </x:c>
    </x:row>
    <x:row r="47" ht="44" customHeight="1">
      <x:c r="A47" s="101" t="str">
        <x:v>Max Points</x:v>
      </x:c>
      <x:c r="B47" s="101" t="str">
        <x:v>Medium tolerance</x:v>
      </x:c>
      <x:c r="C47" s="101" t="n">
        <x:v>6</x:v>
      </x:c>
      <x:c r="D47" s="101" t="str">
        <x:v>Miami Grand Prix</x:v>
      </x:c>
      <x:c r="E47" s="101" t="str">
        <x:v>genuine</x:v>
      </x:c>
      <x:c r="F47" s="101" t="str"/>
      <x:c r="G47" s="101" t="str">
        <x:v>constructor</x:v>
      </x:c>
      <x:c r="H47" s="101" t="str">
        <x:v>mercedes</x:v>
      </x:c>
      <x:c r="I47" s="101" t="str">
        <x:v>ferrari</x:v>
      </x:c>
      <x:c r="J47" s="102" t="n">
        <x:v>30.2</x:v>
      </x:c>
      <x:c r="K47" s="102" t="n">
        <x:v>24.2</x:v>
      </x:c>
      <x:c r="L47" s="102" t="n">
        <x:v>-6</x:v>
      </x:c>
      <x:c r="M47" s="104" t="n">
        <x:v>108.1</x:v>
      </x:c>
      <x:c r="N47" s="104" t="n">
        <x:v>99.9</x:v>
      </x:c>
      <x:c r="O47" s="104" t="n">
        <x:v>-8.2</x:v>
      </x:c>
      <x:c r="P47" s="104" t="n">
        <x:v>0.3</x:v>
      </x:c>
      <x:c r="Q47" s="104" t="n">
        <x:v>0.3</x:v>
      </x:c>
      <x:c r="R47" s="104" t="n">
        <x:v>0</x:v>
      </x:c>
      <x:c r="S47" s="104" t="n">
        <x:v>69.5</x:v>
      </x:c>
      <x:c r="T47" s="104" t="n">
        <x:v>62.5</x:v>
      </x:c>
      <x:c r="U47" s="104" t="n">
        <x:v>0</x:v>
      </x:c>
      <x:c r="V47" s="104" t="n">
        <x:v>-8.2</x:v>
      </x:c>
      <x:c r="W47" s="103" t="n">
        <x:v>10</x:v>
      </x:c>
      <x:c r="X47" s="105" t="str">
        <x:v>was -8.2 utility on this explanatory pairing but enabled the higher-utility seven-asset lineup; gave up 8.2 projected pts; released $6.0M.</x:v>
      </x:c>
    </x:row>
    <x:row r="48" ht="44" customHeight="1">
      <x:c r="A48" s="101" t="str">
        <x:v>Max Points</x:v>
      </x:c>
      <x:c r="B48" s="101" t="str">
        <x:v>Medium tolerance</x:v>
      </x:c>
      <x:c r="C48" s="101" t="n">
        <x:v>7</x:v>
      </x:c>
      <x:c r="D48" s="101" t="str">
        <x:v>Canadian Grand Prix</x:v>
      </x:c>
      <x:c r="E48" s="101" t="str">
        <x:v>genuine</x:v>
      </x:c>
      <x:c r="F48" s="101" t="str"/>
      <x:c r="G48" s="101" t="str">
        <x:v>driver</x:v>
      </x:c>
      <x:c r="H48" s="101" t="str">
        <x:v>LEC</x:v>
      </x:c>
      <x:c r="I48" s="101" t="str">
        <x:v>BOT</x:v>
      </x:c>
      <x:c r="J48" s="102" t="n">
        <x:v>24</x:v>
      </x:c>
      <x:c r="K48" s="102" t="n">
        <x:v>3.9</x:v>
      </x:c>
      <x:c r="L48" s="102" t="n">
        <x:v>-20.1</x:v>
      </x:c>
      <x:c r="M48" s="104" t="n">
        <x:v>30.3</x:v>
      </x:c>
      <x:c r="N48" s="104" t="n">
        <x:v>0.4</x:v>
      </x:c>
      <x:c r="O48" s="104" t="n">
        <x:v>-29.9</x:v>
      </x:c>
      <x:c r="P48" s="104" t="n">
        <x:v>0.3</x:v>
      </x:c>
      <x:c r="Q48" s="104" t="n">
        <x:v>-0.6</x:v>
      </x:c>
      <x:c r="R48" s="104" t="n">
        <x:v>-0.9</x:v>
      </x:c>
      <x:c r="S48" s="104" t="n">
        <x:v>13</x:v>
      </x:c>
      <x:c r="T48" s="104" t="n">
        <x:v>-21</x:v>
      </x:c>
      <x:c r="U48" s="104" t="n">
        <x:v>21</x:v>
      </x:c>
      <x:c r="V48" s="104" t="n">
        <x:v>-45.65</x:v>
      </x:c>
      <x:c r="W48" s="103" t="n">
        <x:v>10</x:v>
      </x:c>
      <x:c r="X48" s="105" t="str">
        <x:v>was -45.6 utility on this explanatory pairing but enabled the higher-utility seven-asset lineup; gave up 29.9 projected pts; forecast price change -0.9M; negative-P5 exposure +21.0; released $20.1M.</x:v>
      </x:c>
    </x:row>
    <x:row r="49" ht="44" customHeight="1">
      <x:c r="A49" s="101" t="str">
        <x:v>Max Points</x:v>
      </x:c>
      <x:c r="B49" s="101" t="str">
        <x:v>Medium tolerance</x:v>
      </x:c>
      <x:c r="C49" s="101" t="n">
        <x:v>7</x:v>
      </x:c>
      <x:c r="D49" s="101" t="str">
        <x:v>Canadian Grand Prix</x:v>
      </x:c>
      <x:c r="E49" s="101" t="str">
        <x:v>genuine</x:v>
      </x:c>
      <x:c r="F49" s="101" t="str"/>
      <x:c r="G49" s="101" t="str">
        <x:v>constructor</x:v>
      </x:c>
      <x:c r="H49" s="101" t="str">
        <x:v>haas</x:v>
      </x:c>
      <x:c r="I49" s="101" t="str">
        <x:v>mercedes</x:v>
      </x:c>
      <x:c r="J49" s="102" t="n">
        <x:v>9.8</x:v>
      </x:c>
      <x:c r="K49" s="102" t="n">
        <x:v>30.5</x:v>
      </x:c>
      <x:c r="L49" s="102" t="n">
        <x:v>20.7</x:v>
      </x:c>
      <x:c r="M49" s="104" t="n">
        <x:v>31.7</x:v>
      </x:c>
      <x:c r="N49" s="104" t="n">
        <x:v>111.1</x:v>
      </x:c>
      <x:c r="O49" s="104" t="n">
        <x:v>79.4</x:v>
      </x:c>
      <x:c r="P49" s="104" t="n">
        <x:v>0.6</x:v>
      </x:c>
      <x:c r="Q49" s="104" t="n">
        <x:v>0.3</x:v>
      </x:c>
      <x:c r="R49" s="104" t="n">
        <x:v>-0.3</x:v>
      </x:c>
      <x:c r="S49" s="104" t="n">
        <x:v>-4.5</x:v>
      </x:c>
      <x:c r="T49" s="104" t="n">
        <x:v>71.5</x:v>
      </x:c>
      <x:c r="U49" s="104" t="n">
        <x:v>-4.5</x:v>
      </x:c>
      <x:c r="V49" s="104" t="n">
        <x:v>82.77</x:v>
      </x:c>
      <x:c r="W49" s="103" t="n">
        <x:v>10</x:v>
      </x:c>
      <x:c r="X49" s="105" t="str">
        <x:v>raised approximate per-asset strategy/risk utility by +82.8; projection +79.4 pts; forecast price change -0.3M; negative-P5 exposure -4.5; spent $20.7M more.</x:v>
      </x:c>
    </x:row>
    <x:row r="50" ht="44" customHeight="1">
      <x:c r="A50" s="101" t="str">
        <x:v>Max Points</x:v>
      </x:c>
      <x:c r="B50" s="101" t="str">
        <x:v>Medium tolerance</x:v>
      </x:c>
      <x:c r="C50" s="101" t="n">
        <x:v>9</x:v>
      </x:c>
      <x:c r="D50" s="101" t="str">
        <x:v>Spanish Grand Prix</x:v>
      </x:c>
      <x:c r="E50" s="101" t="str">
        <x:v>genuine</x:v>
      </x:c>
      <x:c r="F50" s="101" t="str"/>
      <x:c r="G50" s="101" t="str">
        <x:v>driver</x:v>
      </x:c>
      <x:c r="H50" s="101" t="str">
        <x:v>BOT</x:v>
      </x:c>
      <x:c r="I50" s="101" t="str">
        <x:v>HUL</x:v>
      </x:c>
      <x:c r="J50" s="102" t="n">
        <x:v>3.9</x:v>
      </x:c>
      <x:c r="K50" s="102" t="n">
        <x:v>3.2</x:v>
      </x:c>
      <x:c r="L50" s="102" t="n">
        <x:v>-0.7</x:v>
      </x:c>
      <x:c r="M50" s="104" t="n">
        <x:v>-1.2</x:v>
      </x:c>
      <x:c r="N50" s="104" t="n">
        <x:v>3</x:v>
      </x:c>
      <x:c r="O50" s="104" t="n">
        <x:v>4.2</x:v>
      </x:c>
      <x:c r="P50" s="104" t="n">
        <x:v>-0.6</x:v>
      </x:c>
      <x:c r="Q50" s="104" t="n">
        <x:v>-0.2</x:v>
      </x:c>
      <x:c r="R50" s="104" t="n">
        <x:v>0.4</x:v>
      </x:c>
      <x:c r="S50" s="104" t="n">
        <x:v>-12</x:v>
      </x:c>
      <x:c r="T50" s="104" t="n">
        <x:v>-12</x:v>
      </x:c>
      <x:c r="U50" s="104" t="n">
        <x:v>0</x:v>
      </x:c>
      <x:c r="V50" s="104" t="n">
        <x:v>4.2</x:v>
      </x:c>
      <x:c r="W50" s="103" t="n">
        <x:v>0</x:v>
      </x:c>
      <x:c r="X50" s="105" t="str">
        <x:v>raised approximate per-asset strategy/risk utility by +4.2; projection +4.2 pts; forecast price change +0.4M; released $0.7M.</x:v>
      </x:c>
    </x:row>
    <x:row r="51" ht="44" customHeight="1">
      <x:c r="A51" s="101" t="str">
        <x:v>Max Points</x:v>
      </x:c>
      <x:c r="B51" s="101" t="str">
        <x:v>Medium tolerance</x:v>
      </x:c>
      <x:c r="C51" s="101" t="n">
        <x:v>10</x:v>
      </x:c>
      <x:c r="D51" s="101" t="str">
        <x:v>Austrian Grand Prix</x:v>
      </x:c>
      <x:c r="E51" s="101" t="str">
        <x:v>genuine</x:v>
      </x:c>
      <x:c r="F51" s="101" t="str">
        <x:v>no negative</x:v>
      </x:c>
      <x:c r="G51" s="101" t="str">
        <x:v>driver</x:v>
      </x:c>
      <x:c r="H51" s="101" t="str">
        <x:v>ANT</x:v>
      </x:c>
      <x:c r="I51" s="101" t="str">
        <x:v>HAM</x:v>
      </x:c>
      <x:c r="J51" s="102" t="n">
        <x:v>25.3</x:v>
      </x:c>
      <x:c r="K51" s="102" t="n">
        <x:v>24.2</x:v>
      </x:c>
      <x:c r="L51" s="102" t="n">
        <x:v>-1.1</x:v>
      </x:c>
      <x:c r="M51" s="104" t="n">
        <x:v>27.7</x:v>
      </x:c>
      <x:c r="N51" s="104" t="n">
        <x:v>23.1</x:v>
      </x:c>
      <x:c r="O51" s="104" t="n">
        <x:v>-4.6</x:v>
      </x:c>
      <x:c r="P51" s="104" t="n">
        <x:v>0.1</x:v>
      </x:c>
      <x:c r="Q51" s="104" t="n">
        <x:v>0.3</x:v>
      </x:c>
      <x:c r="R51" s="104" t="n">
        <x:v>0.2</x:v>
      </x:c>
      <x:c r="S51" s="104" t="n">
        <x:v>-14.3</x:v>
      </x:c>
      <x:c r="T51" s="104" t="n">
        <x:v>11</x:v>
      </x:c>
      <x:c r="U51" s="104" t="n">
        <x:v>-14.3</x:v>
      </x:c>
      <x:c r="V51" s="104" t="n">
        <x:v>6.12</x:v>
      </x:c>
      <x:c r="W51" s="103" t="n">
        <x:v>0</x:v>
      </x:c>
      <x:c r="X51" s="105" t="str">
        <x:v>raised approximate per-asset strategy/risk utility by +6.1; gave up 4.6 projected pts; forecast price change +0.2M; negative-P5 exposure -14.3; released $1.1M; became the projected 2x captain.</x:v>
      </x:c>
    </x:row>
    <x:row r="52" ht="44" customHeight="1">
      <x:c r="A52" s="101" t="str">
        <x:v>Max Points</x:v>
      </x:c>
      <x:c r="B52" s="101" t="str">
        <x:v>Medium tolerance</x:v>
      </x:c>
      <x:c r="C52" s="101" t="n">
        <x:v>11</x:v>
      </x:c>
      <x:c r="D52" s="101" t="str">
        <x:v>British Grand Prix</x:v>
      </x:c>
      <x:c r="E52" s="101" t="str">
        <x:v>genuine</x:v>
      </x:c>
      <x:c r="F52" s="101" t="str"/>
      <x:c r="G52" s="101" t="str">
        <x:v>driver</x:v>
      </x:c>
      <x:c r="H52" s="101" t="str">
        <x:v>HAM</x:v>
      </x:c>
      <x:c r="I52" s="101" t="str">
        <x:v>ANT</x:v>
      </x:c>
      <x:c r="J52" s="102" t="n">
        <x:v>24.5</x:v>
      </x:c>
      <x:c r="K52" s="102" t="n">
        <x:v>25.4</x:v>
      </x:c>
      <x:c r="L52" s="102" t="n">
        <x:v>0.9</x:v>
      </x:c>
      <x:c r="M52" s="104" t="n">
        <x:v>30.2</x:v>
      </x:c>
      <x:c r="N52" s="104" t="n">
        <x:v>31.2</x:v>
      </x:c>
      <x:c r="O52" s="104" t="n">
        <x:v>1</x:v>
      </x:c>
      <x:c r="P52" s="104" t="n">
        <x:v>0.3</x:v>
      </x:c>
      <x:c r="Q52" s="104" t="n">
        <x:v>-0.1</x:v>
      </x:c>
      <x:c r="R52" s="104" t="n">
        <x:v>-0.4</x:v>
      </x:c>
      <x:c r="S52" s="104" t="n">
        <x:v>-2</x:v>
      </x:c>
      <x:c r="T52" s="104" t="n">
        <x:v>0</x:v>
      </x:c>
      <x:c r="U52" s="104" t="n">
        <x:v>-2</x:v>
      </x:c>
      <x:c r="V52" s="104" t="n">
        <x:v>2.5</x:v>
      </x:c>
      <x:c r="W52" s="103" t="n">
        <x:v>0</x:v>
      </x:c>
      <x:c r="X52" s="105" t="str">
        <x:v>raised approximate per-asset strategy/risk utility by +2.5; projection +1.0 pts; forecast price change -0.4M; negative-P5 exposure -2.0; spent $0.9M more; became the projected 2x captain.</x:v>
      </x:c>
    </x:row>
    <x:row r="53" ht="44" customHeight="1">
      <x:c r="A53" s="101" t="str">
        <x:v>Max Points</x:v>
      </x:c>
      <x:c r="B53" s="101" t="str">
        <x:v>Medium tolerance</x:v>
      </x:c>
      <x:c r="C53" s="101" t="n">
        <x:v>12</x:v>
      </x:c>
      <x:c r="D53" s="101" t="str">
        <x:v>Belgian Grand Prix</x:v>
      </x:c>
      <x:c r="E53" s="101" t="str">
        <x:v>genuine</x:v>
      </x:c>
      <x:c r="F53" s="101" t="str">
        <x:v>autopilot</x:v>
      </x:c>
      <x:c r="G53" s="101" t="str">
        <x:v>driver</x:v>
      </x:c>
      <x:c r="H53" s="101" t="str">
        <x:v>OCO</x:v>
      </x:c>
      <x:c r="I53" s="101" t="str">
        <x:v>HAD</x:v>
      </x:c>
      <x:c r="J53" s="102" t="n">
        <x:v>10.3</x:v>
      </x:c>
      <x:c r="K53" s="102" t="n">
        <x:v>13.3</x:v>
      </x:c>
      <x:c r="L53" s="102" t="n">
        <x:v>3</x:v>
      </x:c>
      <x:c r="M53" s="104" t="n">
        <x:v>3.2</x:v>
      </x:c>
      <x:c r="N53" s="104" t="n">
        <x:v>33.3</x:v>
      </x:c>
      <x:c r="O53" s="104" t="n">
        <x:v>30.1</x:v>
      </x:c>
      <x:c r="P53" s="104" t="n">
        <x:v>0.2</x:v>
      </x:c>
      <x:c r="Q53" s="104" t="n">
        <x:v>0.6</x:v>
      </x:c>
      <x:c r="R53" s="104" t="n">
        <x:v>0.4</x:v>
      </x:c>
      <x:c r="S53" s="104" t="n">
        <x:v>-15.4</x:v>
      </x:c>
      <x:c r="T53" s="104" t="n">
        <x:v>-14.7</x:v>
      </x:c>
      <x:c r="U53" s="104" t="n">
        <x:v>-0.7</x:v>
      </x:c>
      <x:c r="V53" s="104" t="n">
        <x:v>30.62</x:v>
      </x:c>
      <x:c r="W53" s="103" t="n">
        <x:v>0</x:v>
      </x:c>
      <x:c r="X53" s="105" t="str">
        <x:v>raised approximate per-asset strategy/risk utility by +30.6; projection +30.1 pts; forecast price change +0.4M; negative-P5 exposure -0.7; spent $3.0M more.</x:v>
      </x:c>
    </x:row>
    <x:row r="54" ht="44" customHeight="1">
      <x:c r="A54" s="101" t="str">
        <x:v>Max Points</x:v>
      </x:c>
      <x:c r="B54" s="101" t="str">
        <x:v>Medium tolerance</x:v>
      </x:c>
      <x:c r="C54" s="101" t="n">
        <x:v>12</x:v>
      </x:c>
      <x:c r="D54" s="101" t="str">
        <x:v>Belgian Grand Prix</x:v>
      </x:c>
      <x:c r="E54" s="101" t="str">
        <x:v>genuine</x:v>
      </x:c>
      <x:c r="F54" s="101" t="str">
        <x:v>autopilot</x:v>
      </x:c>
      <x:c r="G54" s="101" t="str">
        <x:v>constructor</x:v>
      </x:c>
      <x:c r="H54" s="101" t="str">
        <x:v>mercedes</x:v>
      </x:c>
      <x:c r="I54" s="101" t="str">
        <x:v>red_bull</x:v>
      </x:c>
      <x:c r="J54" s="102" t="n">
        <x:v>32</x:v>
      </x:c>
      <x:c r="K54" s="102" t="n">
        <x:v>30.3</x:v>
      </x:c>
      <x:c r="L54" s="102" t="n">
        <x:v>-1.7</x:v>
      </x:c>
      <x:c r="M54" s="104" t="n">
        <x:v>59.1</x:v>
      </x:c>
      <x:c r="N54" s="104" t="n">
        <x:v>68.4</x:v>
      </x:c>
      <x:c r="O54" s="104" t="n">
        <x:v>9.3</x:v>
      </x:c>
      <x:c r="P54" s="104" t="n">
        <x:v>0.3</x:v>
      </x:c>
      <x:c r="Q54" s="104" t="n">
        <x:v>0.3</x:v>
      </x:c>
      <x:c r="R54" s="104" t="n">
        <x:v>0</x:v>
      </x:c>
      <x:c r="S54" s="104" t="n">
        <x:v>19.8</x:v>
      </x:c>
      <x:c r="T54" s="104" t="n">
        <x:v>12.9</x:v>
      </x:c>
      <x:c r="U54" s="104" t="n">
        <x:v>0</x:v>
      </x:c>
      <x:c r="V54" s="104" t="n">
        <x:v>9.3</x:v>
      </x:c>
      <x:c r="W54" s="103" t="n">
        <x:v>0</x:v>
      </x:c>
      <x:c r="X54" s="105" t="str">
        <x:v>raised approximate per-asset strategy/risk utility by +9.3; projection +9.3 pts; released $1.7M.</x:v>
      </x:c>
    </x:row>
    <x:row r="55" ht="44" customHeight="1">
      <x:c r="A55" s="101" t="str">
        <x:v>Max Points</x:v>
      </x:c>
      <x:c r="B55" s="101" t="str">
        <x:v>Medium tolerance</x:v>
      </x:c>
      <x:c r="C55" s="101" t="n">
        <x:v>13</x:v>
      </x:c>
      <x:c r="D55" s="101" t="str">
        <x:v>Hungarian Grand Prix</x:v>
      </x:c>
      <x:c r="E55" s="101" t="str">
        <x:v>genuine</x:v>
      </x:c>
      <x:c r="F55" s="101" t="str"/>
      <x:c r="G55" s="101" t="str">
        <x:v>driver</x:v>
      </x:c>
      <x:c r="H55" s="101" t="str">
        <x:v>ANT</x:v>
      </x:c>
      <x:c r="I55" s="101" t="str">
        <x:v>HAM</x:v>
      </x:c>
      <x:c r="J55" s="102" t="n">
        <x:v>25.6</x:v>
      </x:c>
      <x:c r="K55" s="102" t="n">
        <x:v>24.9</x:v>
      </x:c>
      <x:c r="L55" s="102" t="n">
        <x:v>-0.7</x:v>
      </x:c>
      <x:c r="M55" s="104" t="n">
        <x:v>20.7</x:v>
      </x:c>
      <x:c r="N55" s="104" t="n">
        <x:v>28.5</x:v>
      </x:c>
      <x:c r="O55" s="104" t="n">
        <x:v>7.8</x:v>
      </x:c>
      <x:c r="P55" s="104" t="n">
        <x:v>0.1</x:v>
      </x:c>
      <x:c r="Q55" s="104" t="n">
        <x:v>0.1</x:v>
      </x:c>
      <x:c r="R55" s="104" t="n">
        <x:v>0</x:v>
      </x:c>
      <x:c r="S55" s="104" t="n">
        <x:v>-8.5</x:v>
      </x:c>
      <x:c r="T55" s="104" t="n">
        <x:v>-6.1</x:v>
      </x:c>
      <x:c r="U55" s="104" t="n">
        <x:v>-2.4</x:v>
      </x:c>
      <x:c r="V55" s="104" t="n">
        <x:v>9.6</x:v>
      </x:c>
      <x:c r="W55" s="103" t="n">
        <x:v>10</x:v>
      </x:c>
      <x:c r="X55" s="105" t="str">
        <x:v>raised approximate per-asset strategy/risk utility by +9.6; projection +7.8 pts; negative-P5 exposure -2.4; released $0.7M; became the projected 2x captain.</x:v>
      </x:c>
    </x:row>
    <x:row r="56" ht="44" customHeight="1">
      <x:c r="A56" s="101" t="str">
        <x:v>Max Points</x:v>
      </x:c>
      <x:c r="B56" s="101" t="str">
        <x:v>Medium tolerance</x:v>
      </x:c>
      <x:c r="C56" s="101" t="n">
        <x:v>13</x:v>
      </x:c>
      <x:c r="D56" s="101" t="str">
        <x:v>Hungarian Grand Prix</x:v>
      </x:c>
      <x:c r="E56" s="101" t="str">
        <x:v>genuine</x:v>
      </x:c>
      <x:c r="F56" s="101" t="str"/>
      <x:c r="G56" s="101" t="str">
        <x:v>constructor</x:v>
      </x:c>
      <x:c r="H56" s="101" t="str">
        <x:v>red_bull</x:v>
      </x:c>
      <x:c r="I56" s="101" t="str">
        <x:v>mclaren</x:v>
      </x:c>
      <x:c r="J56" s="102" t="n">
        <x:v>30.6</x:v>
      </x:c>
      <x:c r="K56" s="102" t="n">
        <x:v>30.7</x:v>
      </x:c>
      <x:c r="L56" s="102" t="n">
        <x:v>0.1</x:v>
      </x:c>
      <x:c r="M56" s="104" t="n">
        <x:v>31.1</x:v>
      </x:c>
      <x:c r="N56" s="104" t="n">
        <x:v>51.8</x:v>
      </x:c>
      <x:c r="O56" s="104" t="n">
        <x:v>20.7</x:v>
      </x:c>
      <x:c r="P56" s="104" t="n">
        <x:v>0.3</x:v>
      </x:c>
      <x:c r="Q56" s="104" t="n">
        <x:v>0.3</x:v>
      </x:c>
      <x:c r="R56" s="104" t="n">
        <x:v>0</x:v>
      </x:c>
      <x:c r="S56" s="104" t="n">
        <x:v>2.5</x:v>
      </x:c>
      <x:c r="T56" s="104" t="n">
        <x:v>15.3</x:v>
      </x:c>
      <x:c r="U56" s="104" t="n">
        <x:v>0</x:v>
      </x:c>
      <x:c r="V56" s="104" t="n">
        <x:v>20.7</x:v>
      </x:c>
      <x:c r="W56" s="103" t="n">
        <x:v>10</x:v>
      </x:c>
      <x:c r="X56" s="105" t="str">
        <x:v>raised approximate per-asset strategy/risk utility by +20.7; projection +20.7 pts; spent $0.1M more.</x:v>
      </x:c>
    </x:row>
    <x:row r="57" ht="44" customHeight="1">
      <x:c r="A57" s="101" t="str">
        <x:v>Max Points</x:v>
      </x:c>
      <x:c r="B57" s="101" t="str">
        <x:v>Maximum tolerance</x:v>
      </x:c>
      <x:c r="C57" s="101" t="n">
        <x:v>2</x:v>
      </x:c>
      <x:c r="D57" s="101" t="str">
        <x:v>Chinese Grand Prix</x:v>
      </x:c>
      <x:c r="E57" s="101" t="str">
        <x:v>reconstructed</x:v>
      </x:c>
      <x:c r="F57" s="101" t="str"/>
      <x:c r="G57" s="101" t="str">
        <x:v>driver</x:v>
      </x:c>
      <x:c r="H57" s="101" t="str">
        <x:v>LIN</x:v>
      </x:c>
      <x:c r="I57" s="101" t="str">
        <x:v>ALB</x:v>
      </x:c>
      <x:c r="J57" s="102" t="n">
        <x:v>7.4</x:v>
      </x:c>
      <x:c r="K57" s="102" t="n">
        <x:v>10.8</x:v>
      </x:c>
      <x:c r="L57" s="102" t="n">
        <x:v>3.4</x:v>
      </x:c>
      <x:c r="M57" s="104" t="n">
        <x:v>10.2</x:v>
      </x:c>
      <x:c r="N57" s="104" t="n">
        <x:v>16.1</x:v>
      </x:c>
      <x:c r="O57" s="104" t="n">
        <x:v>5.9</x:v>
      </x:c>
      <x:c r="P57" s="104" t="n">
        <x:v>0.6</x:v>
      </x:c>
      <x:c r="Q57" s="104" t="n">
        <x:v>0.2</x:v>
      </x:c>
      <x:c r="R57" s="104" t="n">
        <x:v>-0.4</x:v>
      </x:c>
      <x:c r="S57" s="104" t="n">
        <x:v>-10</x:v>
      </x:c>
      <x:c r="T57" s="104" t="n">
        <x:v>-6</x:v>
      </x:c>
      <x:c r="U57" s="104" t="n">
        <x:v>-4</x:v>
      </x:c>
      <x:c r="V57" s="104" t="n">
        <x:v>5.9</x:v>
      </x:c>
      <x:c r="W57" s="103" t="n">
        <x:v>0</x:v>
      </x:c>
      <x:c r="X57" s="105" t="str">
        <x:v>raised approximate per-asset strategy/risk utility by +5.9; projection +5.9 pts; forecast price change -0.4M; negative-P5 exposure -4.0; spent $3.4M more.</x:v>
      </x:c>
    </x:row>
    <x:row r="58" ht="44" customHeight="1">
      <x:c r="A58" s="101" t="str">
        <x:v>Max Points</x:v>
      </x:c>
      <x:c r="B58" s="101" t="str">
        <x:v>Maximum tolerance</x:v>
      </x:c>
      <x:c r="C58" s="101" t="n">
        <x:v>2</x:v>
      </x:c>
      <x:c r="D58" s="101" t="str">
        <x:v>Chinese Grand Prix</x:v>
      </x:c>
      <x:c r="E58" s="101" t="str">
        <x:v>reconstructed</x:v>
      </x:c>
      <x:c r="F58" s="101" t="str"/>
      <x:c r="G58" s="101" t="str">
        <x:v>driver</x:v>
      </x:c>
      <x:c r="H58" s="101" t="str">
        <x:v>RUS</x:v>
      </x:c>
      <x:c r="I58" s="101" t="str">
        <x:v>ANT</x:v>
      </x:c>
      <x:c r="J58" s="102" t="n">
        <x:v>28</x:v>
      </x:c>
      <x:c r="K58" s="102" t="n">
        <x:v>23.8</x:v>
      </x:c>
      <x:c r="L58" s="102" t="n">
        <x:v>-4.2</x:v>
      </x:c>
      <x:c r="M58" s="104" t="n">
        <x:v>45.5</x:v>
      </x:c>
      <x:c r="N58" s="104" t="n">
        <x:v>48.2</x:v>
      </x:c>
      <x:c r="O58" s="104" t="n">
        <x:v>2.7</x:v>
      </x:c>
      <x:c r="P58" s="104" t="n">
        <x:v>0.3</x:v>
      </x:c>
      <x:c r="Q58" s="104" t="n">
        <x:v>0.3</x:v>
      </x:c>
      <x:c r="R58" s="104" t="n">
        <x:v>0</x:v>
      </x:c>
      <x:c r="S58" s="104" t="n">
        <x:v>19</x:v>
      </x:c>
      <x:c r="T58" s="104" t="n">
        <x:v>19</x:v>
      </x:c>
      <x:c r="U58" s="104" t="n">
        <x:v>0</x:v>
      </x:c>
      <x:c r="V58" s="104" t="n">
        <x:v>2.7</x:v>
      </x:c>
      <x:c r="W58" s="103" t="n">
        <x:v>0</x:v>
      </x:c>
      <x:c r="X58" s="105" t="str">
        <x:v>raised approximate per-asset strategy/risk utility by +2.7; projection +2.7 pts; released $4.2M; became the projected 2x captain.</x:v>
      </x:c>
    </x:row>
    <x:row r="59" ht="44" customHeight="1">
      <x:c r="A59" s="101" t="str">
        <x:v>Max Points</x:v>
      </x:c>
      <x:c r="B59" s="101" t="str">
        <x:v>Maximum tolerance</x:v>
      </x:c>
      <x:c r="C59" s="101" t="n">
        <x:v>3</x:v>
      </x:c>
      <x:c r="D59" s="101" t="str">
        <x:v>Japanese Grand Prix</x:v>
      </x:c>
      <x:c r="E59" s="101" t="str">
        <x:v>reconstructed</x:v>
      </x:c>
      <x:c r="F59" s="101" t="str"/>
      <x:c r="G59" s="101" t="str">
        <x:v>driver</x:v>
      </x:c>
      <x:c r="H59" s="101" t="str">
        <x:v>ALB</x:v>
      </x:c>
      <x:c r="I59" s="101" t="str">
        <x:v>LIN</x:v>
      </x:c>
      <x:c r="J59" s="102" t="n">
        <x:v>10.8</x:v>
      </x:c>
      <x:c r="K59" s="102" t="n">
        <x:v>7.4</x:v>
      </x:c>
      <x:c r="L59" s="102" t="n">
        <x:v>-3.4</x:v>
      </x:c>
      <x:c r="M59" s="104" t="n">
        <x:v>2.6</x:v>
      </x:c>
      <x:c r="N59" s="104" t="n">
        <x:v>10.4</x:v>
      </x:c>
      <x:c r="O59" s="104" t="n">
        <x:v>7.8</x:v>
      </x:c>
      <x:c r="P59" s="104" t="n">
        <x:v>-0.6</x:v>
      </x:c>
      <x:c r="Q59" s="104" t="n">
        <x:v>0.6</x:v>
      </x:c>
      <x:c r="R59" s="104" t="n">
        <x:v>1.2</x:v>
      </x:c>
      <x:c r="S59" s="104" t="n">
        <x:v>-6</x:v>
      </x:c>
      <x:c r="T59" s="104" t="n">
        <x:v>-2</x:v>
      </x:c>
      <x:c r="U59" s="104" t="n">
        <x:v>-4</x:v>
      </x:c>
      <x:c r="V59" s="104" t="n">
        <x:v>7.8</x:v>
      </x:c>
      <x:c r="W59" s="103" t="n">
        <x:v>0</x:v>
      </x:c>
      <x:c r="X59" s="105" t="str">
        <x:v>raised approximate per-asset strategy/risk utility by +7.8; projection +7.8 pts; forecast price change +1.2M; negative-P5 exposure -4.0; released $3.4M.</x:v>
      </x:c>
    </x:row>
    <x:row r="60" ht="44" customHeight="1">
      <x:c r="A60" s="101" t="str">
        <x:v>Max Points</x:v>
      </x:c>
      <x:c r="B60" s="101" t="str">
        <x:v>Maximum tolerance</x:v>
      </x:c>
      <x:c r="C60" s="101" t="n">
        <x:v>6</x:v>
      </x:c>
      <x:c r="D60" s="101" t="str">
        <x:v>Miami Grand Prix</x:v>
      </x:c>
      <x:c r="E60" s="101" t="str">
        <x:v>genuine</x:v>
      </x:c>
      <x:c r="F60" s="101" t="str"/>
      <x:c r="G60" s="101" t="str">
        <x:v>driver</x:v>
      </x:c>
      <x:c r="H60" s="101" t="str">
        <x:v>HAD</x:v>
      </x:c>
      <x:c r="I60" s="101" t="str">
        <x:v>LAW</x:v>
      </x:c>
      <x:c r="J60" s="102" t="n">
        <x:v>13.3</x:v>
      </x:c>
      <x:c r="K60" s="102" t="n">
        <x:v>7.5</x:v>
      </x:c>
      <x:c r="L60" s="102" t="n">
        <x:v>-5.8</x:v>
      </x:c>
      <x:c r="M60" s="104" t="n">
        <x:v>7.4</x:v>
      </x:c>
      <x:c r="N60" s="104" t="n">
        <x:v>23.4</x:v>
      </x:c>
      <x:c r="O60" s="104" t="n">
        <x:v>16</x:v>
      </x:c>
      <x:c r="P60" s="104" t="n">
        <x:v>-0.2</x:v>
      </x:c>
      <x:c r="Q60" s="104" t="n">
        <x:v>0.6</x:v>
      </x:c>
      <x:c r="R60" s="104" t="n">
        <x:v>0.8</x:v>
      </x:c>
      <x:c r="S60" s="104" t="n">
        <x:v>-18</x:v>
      </x:c>
      <x:c r="T60" s="104" t="n">
        <x:v>1</x:v>
      </x:c>
      <x:c r="U60" s="104" t="n">
        <x:v>-18</x:v>
      </x:c>
      <x:c r="V60" s="104" t="n">
        <x:v>16</x:v>
      </x:c>
      <x:c r="W60" s="103" t="n">
        <x:v>10</x:v>
      </x:c>
      <x:c r="X60" s="105" t="str">
        <x:v>raised approximate per-asset strategy/risk utility by +16.0; projection +16.0 pts; forecast price change +0.8M; negative-P5 exposure -18.0; released $5.8M.</x:v>
      </x:c>
    </x:row>
    <x:row r="61" ht="44" customHeight="1">
      <x:c r="A61" s="101" t="str">
        <x:v>Max Points</x:v>
      </x:c>
      <x:c r="B61" s="101" t="str">
        <x:v>Maximum tolerance</x:v>
      </x:c>
      <x:c r="C61" s="101" t="n">
        <x:v>6</x:v>
      </x:c>
      <x:c r="D61" s="101" t="str">
        <x:v>Miami Grand Prix</x:v>
      </x:c>
      <x:c r="E61" s="101" t="str">
        <x:v>genuine</x:v>
      </x:c>
      <x:c r="F61" s="101" t="str"/>
      <x:c r="G61" s="101" t="str">
        <x:v>constructor</x:v>
      </x:c>
      <x:c r="H61" s="101" t="str">
        <x:v>audi</x:v>
      </x:c>
      <x:c r="I61" s="101" t="str">
        <x:v>racing_bulls</x:v>
      </x:c>
      <x:c r="J61" s="102" t="n">
        <x:v>5.6</x:v>
      </x:c>
      <x:c r="K61" s="102" t="n">
        <x:v>8.1</x:v>
      </x:c>
      <x:c r="L61" s="102" t="n">
        <x:v>2.5</x:v>
      </x:c>
      <x:c r="M61" s="104" t="n">
        <x:v>36</x:v>
      </x:c>
      <x:c r="N61" s="104" t="n">
        <x:v>56</x:v>
      </x:c>
      <x:c r="O61" s="104" t="n">
        <x:v>20</x:v>
      </x:c>
      <x:c r="P61" s="104" t="n">
        <x:v>0.6</x:v>
      </x:c>
      <x:c r="Q61" s="104" t="n">
        <x:v>0.6</x:v>
      </x:c>
      <x:c r="R61" s="104" t="n">
        <x:v>0</x:v>
      </x:c>
      <x:c r="S61" s="104" t="n">
        <x:v>4.5</x:v>
      </x:c>
      <x:c r="T61" s="104" t="n">
        <x:v>24.5</x:v>
      </x:c>
      <x:c r="U61" s="104" t="n">
        <x:v>0</x:v>
      </x:c>
      <x:c r="V61" s="104" t="n">
        <x:v>20</x:v>
      </x:c>
      <x:c r="W61" s="103" t="n">
        <x:v>10</x:v>
      </x:c>
      <x:c r="X61" s="105" t="str">
        <x:v>raised approximate per-asset strategy/risk utility by +20.0; projection +20.0 pts; spent $2.5M more.</x:v>
      </x:c>
    </x:row>
    <x:row r="62" ht="44" customHeight="1">
      <x:c r="A62" s="101" t="str">
        <x:v>Max Points</x:v>
      </x:c>
      <x:c r="B62" s="101" t="str">
        <x:v>Maximum tolerance</x:v>
      </x:c>
      <x:c r="C62" s="101" t="n">
        <x:v>7</x:v>
      </x:c>
      <x:c r="D62" s="101" t="str">
        <x:v>Canadian Grand Prix</x:v>
      </x:c>
      <x:c r="E62" s="101" t="str">
        <x:v>genuine</x:v>
      </x:c>
      <x:c r="F62" s="101" t="str"/>
      <x:c r="G62" s="101" t="str">
        <x:v>driver</x:v>
      </x:c>
      <x:c r="H62" s="101" t="str">
        <x:v>BOR</x:v>
      </x:c>
      <x:c r="I62" s="101" t="str">
        <x:v>HAD</x:v>
      </x:c>
      <x:c r="J62" s="102" t="n">
        <x:v>5.2</x:v>
      </x:c>
      <x:c r="K62" s="102" t="n">
        <x:v>12.7</x:v>
      </x:c>
      <x:c r="L62" s="102" t="n">
        <x:v>7.5</x:v>
      </x:c>
      <x:c r="M62" s="104" t="n">
        <x:v>6.9</x:v>
      </x:c>
      <x:c r="N62" s="104" t="n">
        <x:v>19.4</x:v>
      </x:c>
      <x:c r="O62" s="104" t="n">
        <x:v>12.5</x:v>
      </x:c>
      <x:c r="P62" s="104" t="n">
        <x:v>0.2</x:v>
      </x:c>
      <x:c r="Q62" s="104" t="n">
        <x:v>-0.6</x:v>
      </x:c>
      <x:c r="R62" s="104" t="n">
        <x:v>-0.8</x:v>
      </x:c>
      <x:c r="S62" s="104" t="n">
        <x:v>-10</x:v>
      </x:c>
      <x:c r="T62" s="104" t="n">
        <x:v>-13</x:v>
      </x:c>
      <x:c r="U62" s="104" t="n">
        <x:v>3</x:v>
      </x:c>
      <x:c r="V62" s="104" t="n">
        <x:v>12.5</x:v>
      </x:c>
      <x:c r="W62" s="103" t="n">
        <x:v>0</x:v>
      </x:c>
      <x:c r="X62" s="105" t="str">
        <x:v>raised approximate per-asset strategy/risk utility by +12.5; projection +12.5 pts; forecast price change -0.8M; negative-P5 exposure +3.0; spent $7.5M more.</x:v>
      </x:c>
    </x:row>
    <x:row r="63" ht="44" customHeight="1">
      <x:c r="A63" s="101" t="str">
        <x:v>Max Points</x:v>
      </x:c>
      <x:c r="B63" s="101" t="str">
        <x:v>Maximum tolerance</x:v>
      </x:c>
      <x:c r="C63" s="101" t="n">
        <x:v>9</x:v>
      </x:c>
      <x:c r="D63" s="101" t="str">
        <x:v>Spanish Grand Prix</x:v>
      </x:c>
      <x:c r="E63" s="101" t="str">
        <x:v>genuine</x:v>
      </x:c>
      <x:c r="F63" s="101" t="str"/>
      <x:c r="G63" s="101" t="str">
        <x:v>driver</x:v>
      </x:c>
      <x:c r="H63" s="101" t="str">
        <x:v>HAD</x:v>
      </x:c>
      <x:c r="I63" s="101" t="str">
        <x:v>BOT</x:v>
      </x:c>
      <x:c r="J63" s="102" t="n">
        <x:v>11.5</x:v>
      </x:c>
      <x:c r="K63" s="102" t="n">
        <x:v>3.9</x:v>
      </x:c>
      <x:c r="L63" s="102" t="n">
        <x:v>-7.6</x:v>
      </x:c>
      <x:c r="M63" s="104" t="n">
        <x:v>9.2</x:v>
      </x:c>
      <x:c r="N63" s="104" t="n">
        <x:v>-1.2</x:v>
      </x:c>
      <x:c r="O63" s="104" t="n">
        <x:v>-10.4</x:v>
      </x:c>
      <x:c r="P63" s="104" t="n">
        <x:v>0.2</x:v>
      </x:c>
      <x:c r="Q63" s="104" t="n">
        <x:v>-0.6</x:v>
      </x:c>
      <x:c r="R63" s="104" t="n">
        <x:v>-0.8</x:v>
      </x:c>
      <x:c r="S63" s="104" t="n">
        <x:v>-12</x:v>
      </x:c>
      <x:c r="T63" s="104" t="n">
        <x:v>-12</x:v>
      </x:c>
      <x:c r="U63" s="104" t="n">
        <x:v>0</x:v>
      </x:c>
      <x:c r="V63" s="104" t="n">
        <x:v>-10.4</x:v>
      </x:c>
      <x:c r="W63" s="103" t="n">
        <x:v>10</x:v>
      </x:c>
      <x:c r="X63" s="105" t="str">
        <x:v>was -10.4 utility on this explanatory pairing but enabled the higher-utility seven-asset lineup; gave up 10.4 projected pts; forecast price change -0.8M; released $7.6M.</x:v>
      </x:c>
    </x:row>
    <x:row r="64" ht="44" customHeight="1">
      <x:c r="A64" s="101" t="str">
        <x:v>Max Points</x:v>
      </x:c>
      <x:c r="B64" s="101" t="str">
        <x:v>Maximum tolerance</x:v>
      </x:c>
      <x:c r="C64" s="101" t="n">
        <x:v>9</x:v>
      </x:c>
      <x:c r="D64" s="101" t="str">
        <x:v>Spanish Grand Prix</x:v>
      </x:c>
      <x:c r="E64" s="101" t="str">
        <x:v>genuine</x:v>
      </x:c>
      <x:c r="F64" s="101" t="str"/>
      <x:c r="G64" s="101" t="str">
        <x:v>driver</x:v>
      </x:c>
      <x:c r="H64" s="101" t="str">
        <x:v>OCO</x:v>
      </x:c>
      <x:c r="I64" s="101" t="str">
        <x:v>HUL</x:v>
      </x:c>
      <x:c r="J64" s="102" t="n">
        <x:v>10.1</x:v>
      </x:c>
      <x:c r="K64" s="102" t="n">
        <x:v>3.2</x:v>
      </x:c>
      <x:c r="L64" s="102" t="n">
        <x:v>-6.9</x:v>
      </x:c>
      <x:c r="M64" s="104" t="n">
        <x:v>8.6</x:v>
      </x:c>
      <x:c r="N64" s="104" t="n">
        <x:v>3</x:v>
      </x:c>
      <x:c r="O64" s="104" t="n">
        <x:v>-5.6</x:v>
      </x:c>
      <x:c r="P64" s="104" t="n">
        <x:v>0.2</x:v>
      </x:c>
      <x:c r="Q64" s="104" t="n">
        <x:v>-0.2</x:v>
      </x:c>
      <x:c r="R64" s="104" t="n">
        <x:v>-0.4</x:v>
      </x:c>
      <x:c r="S64" s="104" t="n">
        <x:v>-1</x:v>
      </x:c>
      <x:c r="T64" s="104" t="n">
        <x:v>-12</x:v>
      </x:c>
      <x:c r="U64" s="104" t="n">
        <x:v>11</x:v>
      </x:c>
      <x:c r="V64" s="104" t="n">
        <x:v>-5.6</x:v>
      </x:c>
      <x:c r="W64" s="103" t="n">
        <x:v>10</x:v>
      </x:c>
      <x:c r="X64" s="105" t="str">
        <x:v>was -5.6 utility on this explanatory pairing but enabled the higher-utility seven-asset lineup; gave up 5.6 projected pts; forecast price change -0.4M; negative-P5 exposure +11.0; released $6.9M.</x:v>
      </x:c>
    </x:row>
    <x:row r="65" ht="44" customHeight="1">
      <x:c r="A65" s="101" t="str">
        <x:v>Max Points</x:v>
      </x:c>
      <x:c r="B65" s="101" t="str">
        <x:v>Maximum tolerance</x:v>
      </x:c>
      <x:c r="C65" s="101" t="n">
        <x:v>9</x:v>
      </x:c>
      <x:c r="D65" s="101" t="str">
        <x:v>Spanish Grand Prix</x:v>
      </x:c>
      <x:c r="E65" s="101" t="str">
        <x:v>genuine</x:v>
      </x:c>
      <x:c r="F65" s="101" t="str"/>
      <x:c r="G65" s="101" t="str">
        <x:v>constructor</x:v>
      </x:c>
      <x:c r="H65" s="101" t="str">
        <x:v>racing_bulls</x:v>
      </x:c>
      <x:c r="I65" s="101" t="str">
        <x:v>ferrari</x:v>
      </x:c>
      <x:c r="J65" s="102" t="n">
        <x:v>9.9</x:v>
      </x:c>
      <x:c r="K65" s="102" t="n">
        <x:v>25.1</x:v>
      </x:c>
      <x:c r="L65" s="102" t="n">
        <x:v>15.2</x:v>
      </x:c>
      <x:c r="M65" s="104" t="n">
        <x:v>25.8</x:v>
      </x:c>
      <x:c r="N65" s="104" t="n">
        <x:v>67.9</x:v>
      </x:c>
      <x:c r="O65" s="104" t="n">
        <x:v>42.1</x:v>
      </x:c>
      <x:c r="P65" s="104" t="n">
        <x:v>0.6</x:v>
      </x:c>
      <x:c r="Q65" s="104" t="n">
        <x:v>0.3</x:v>
      </x:c>
      <x:c r="R65" s="104" t="n">
        <x:v>-0.3</x:v>
      </x:c>
      <x:c r="S65" s="104" t="n">
        <x:v>5.5</x:v>
      </x:c>
      <x:c r="T65" s="104" t="n">
        <x:v>31.5</x:v>
      </x:c>
      <x:c r="U65" s="104" t="n">
        <x:v>0</x:v>
      </x:c>
      <x:c r="V65" s="104" t="n">
        <x:v>42.1</x:v>
      </x:c>
      <x:c r="W65" s="103" t="n">
        <x:v>10</x:v>
      </x:c>
      <x:c r="X65" s="105" t="str">
        <x:v>raised approximate per-asset strategy/risk utility by +42.1; projection +42.1 pts; forecast price change -0.3M; spent $15.2M more.</x:v>
      </x:c>
    </x:row>
    <x:row r="66" ht="44" customHeight="1">
      <x:c r="A66" s="101" t="str">
        <x:v>Max Points</x:v>
      </x:c>
      <x:c r="B66" s="101" t="str">
        <x:v>Maximum tolerance</x:v>
      </x:c>
      <x:c r="C66" s="101" t="n">
        <x:v>10</x:v>
      </x:c>
      <x:c r="D66" s="101" t="str">
        <x:v>Austrian Grand Prix</x:v>
      </x:c>
      <x:c r="E66" s="101" t="str">
        <x:v>genuine</x:v>
      </x:c>
      <x:c r="F66" s="101" t="str">
        <x:v>no negative</x:v>
      </x:c>
      <x:c r="G66" s="101" t="str">
        <x:v>driver</x:v>
      </x:c>
      <x:c r="H66" s="101" t="str">
        <x:v>LAW</x:v>
      </x:c>
      <x:c r="I66" s="101" t="str">
        <x:v>ALB</x:v>
      </x:c>
      <x:c r="J66" s="102" t="n">
        <x:v>8.7</x:v>
      </x:c>
      <x:c r="K66" s="102" t="n">
        <x:v>8.2</x:v>
      </x:c>
      <x:c r="L66" s="102" t="n">
        <x:v>-0.5</x:v>
      </x:c>
      <x:c r="M66" s="104" t="n">
        <x:v>1.3</x:v>
      </x:c>
      <x:c r="N66" s="104" t="n">
        <x:v>4.1</x:v>
      </x:c>
      <x:c r="O66" s="104" t="n">
        <x:v>2.8</x:v>
      </x:c>
      <x:c r="P66" s="104" t="n">
        <x:v>-0.2</x:v>
      </x:c>
      <x:c r="Q66" s="104" t="n">
        <x:v>-0.6</x:v>
      </x:c>
      <x:c r="R66" s="104" t="n">
        <x:v>-0.4</x:v>
      </x:c>
      <x:c r="S66" s="104" t="n">
        <x:v>-22.1</x:v>
      </x:c>
      <x:c r="T66" s="104" t="n">
        <x:v>-23.4</x:v>
      </x:c>
      <x:c r="U66" s="104" t="n">
        <x:v>1.3</x:v>
      </x:c>
      <x:c r="V66" s="104" t="n">
        <x:v>2.8</x:v>
      </x:c>
      <x:c r="W66" s="103" t="n">
        <x:v>0</x:v>
      </x:c>
      <x:c r="X66" s="105" t="str">
        <x:v>raised approximate per-asset strategy/risk utility by +2.8; projection +2.8 pts; forecast price change -0.4M; negative-P5 exposure +1.3; released $0.5M.</x:v>
      </x:c>
    </x:row>
    <x:row r="67" ht="44" customHeight="1">
      <x:c r="A67" s="101" t="str">
        <x:v>Max Points</x:v>
      </x:c>
      <x:c r="B67" s="101" t="str">
        <x:v>Maximum tolerance</x:v>
      </x:c>
      <x:c r="C67" s="101" t="n">
        <x:v>11</x:v>
      </x:c>
      <x:c r="D67" s="101" t="str">
        <x:v>British Grand Prix</x:v>
      </x:c>
      <x:c r="E67" s="101" t="str">
        <x:v>genuine</x:v>
      </x:c>
      <x:c r="F67" s="101" t="str">
        <x:v>autopilot</x:v>
      </x:c>
      <x:c r="G67" s="101" t="str">
        <x:v>driver</x:v>
      </x:c>
      <x:c r="H67" s="101" t="str">
        <x:v>ALB</x:v>
      </x:c>
      <x:c r="I67" s="101" t="str">
        <x:v>BOR</x:v>
      </x:c>
      <x:c r="J67" s="102" t="n">
        <x:v>7.6</x:v>
      </x:c>
      <x:c r="K67" s="102" t="n">
        <x:v>6</x:v>
      </x:c>
      <x:c r="L67" s="102" t="n">
        <x:v>-1.6</x:v>
      </x:c>
      <x:c r="M67" s="104" t="n">
        <x:v>3.8</x:v>
      </x:c>
      <x:c r="N67" s="104" t="n">
        <x:v>8</x:v>
      </x:c>
      <x:c r="O67" s="104" t="n">
        <x:v>4.2</x:v>
      </x:c>
      <x:c r="P67" s="104" t="n">
        <x:v>-0.6</x:v>
      </x:c>
      <x:c r="Q67" s="104" t="n">
        <x:v>0.2</x:v>
      </x:c>
      <x:c r="R67" s="104" t="n">
        <x:v>0.8</x:v>
      </x:c>
      <x:c r="S67" s="104" t="n">
        <x:v>-17.6</x:v>
      </x:c>
      <x:c r="T67" s="104" t="n">
        <x:v>-12.2</x:v>
      </x:c>
      <x:c r="U67" s="104" t="n">
        <x:v>-5.4</x:v>
      </x:c>
      <x:c r="V67" s="104" t="n">
        <x:v>4.2</x:v>
      </x:c>
      <x:c r="W67" s="103" t="n">
        <x:v>0</x:v>
      </x:c>
      <x:c r="X67" s="105" t="str">
        <x:v>raised approximate per-asset strategy/risk utility by +4.2; projection +4.2 pts; forecast price change +0.8M; negative-P5 exposure -5.4; released $1.6M.</x:v>
      </x:c>
    </x:row>
    <x:row r="68" ht="44" customHeight="1">
      <x:c r="A68" s="101" t="str">
        <x:v>Max Points</x:v>
      </x:c>
      <x:c r="B68" s="101" t="str">
        <x:v>Maximum tolerance</x:v>
      </x:c>
      <x:c r="C68" s="101" t="n">
        <x:v>12</x:v>
      </x:c>
      <x:c r="D68" s="101" t="str">
        <x:v>Belgian Grand Prix</x:v>
      </x:c>
      <x:c r="E68" s="101" t="str">
        <x:v>genuine</x:v>
      </x:c>
      <x:c r="F68" s="101" t="str">
        <x:v>wild card</x:v>
      </x:c>
      <x:c r="G68" s="101" t="str">
        <x:v>driver</x:v>
      </x:c>
      <x:c r="H68" s="101" t="str">
        <x:v>ANT</x:v>
      </x:c>
      <x:c r="I68" s="101" t="str">
        <x:v>NOR</x:v>
      </x:c>
      <x:c r="J68" s="102" t="n">
        <x:v>25.3</x:v>
      </x:c>
      <x:c r="K68" s="102" t="n">
        <x:v>25.7</x:v>
      </x:c>
      <x:c r="L68" s="102" t="n">
        <x:v>0.4</x:v>
      </x:c>
      <x:c r="M68" s="104" t="n">
        <x:v>22.7</x:v>
      </x:c>
      <x:c r="N68" s="104" t="n">
        <x:v>28.5</x:v>
      </x:c>
      <x:c r="O68" s="104" t="n">
        <x:v>5.8</x:v>
      </x:c>
      <x:c r="P68" s="104" t="n">
        <x:v>0.1</x:v>
      </x:c>
      <x:c r="Q68" s="104" t="n">
        <x:v>0.1</x:v>
      </x:c>
      <x:c r="R68" s="104" t="n">
        <x:v>0</x:v>
      </x:c>
      <x:c r="S68" s="104" t="n">
        <x:v>-7.3</x:v>
      </x:c>
      <x:c r="T68" s="104" t="n">
        <x:v>-12.9</x:v>
      </x:c>
      <x:c r="U68" s="104" t="n">
        <x:v>5.6</x:v>
      </x:c>
      <x:c r="V68" s="104" t="n">
        <x:v>5.8</x:v>
      </x:c>
      <x:c r="W68" s="103" t="n">
        <x:v>0</x:v>
      </x:c>
      <x:c r="X68" s="105" t="str">
        <x:v>Wild Card made the permanent rebuild free; Forecasted competitive-order change called for 4 lineup changes and a 26.6-utility improvement; this is the upgrade/order-shift proxy.; raised approximate per-asset strategy/risk utility by +5.8; projection +5.8 pts; negative-P5 exposure +5.6; spent $0.4M more.</x:v>
      </x:c>
    </x:row>
    <x:row r="69" ht="44" customHeight="1">
      <x:c r="A69" s="101" t="str">
        <x:v>Max Points</x:v>
      </x:c>
      <x:c r="B69" s="101" t="str">
        <x:v>Maximum tolerance</x:v>
      </x:c>
      <x:c r="C69" s="101" t="n">
        <x:v>12</x:v>
      </x:c>
      <x:c r="D69" s="101" t="str">
        <x:v>Belgian Grand Prix</x:v>
      </x:c>
      <x:c r="E69" s="101" t="str">
        <x:v>genuine</x:v>
      </x:c>
      <x:c r="F69" s="101" t="str">
        <x:v>wild card</x:v>
      </x:c>
      <x:c r="G69" s="101" t="str">
        <x:v>driver</x:v>
      </x:c>
      <x:c r="H69" s="101" t="str">
        <x:v>BOR</x:v>
      </x:c>
      <x:c r="I69" s="101" t="str">
        <x:v>STR</x:v>
      </x:c>
      <x:c r="J69" s="102" t="n">
        <x:v>6.6</x:v>
      </x:c>
      <x:c r="K69" s="102" t="n">
        <x:v>3</x:v>
      </x:c>
      <x:c r="L69" s="102" t="n">
        <x:v>-3.6</x:v>
      </x:c>
      <x:c r="M69" s="104" t="n">
        <x:v>1.9</x:v>
      </x:c>
      <x:c r="N69" s="104" t="n">
        <x:v>-3.9</x:v>
      </x:c>
      <x:c r="O69" s="104" t="n">
        <x:v>-5.8</x:v>
      </x:c>
      <x:c r="P69" s="104" t="n">
        <x:v>0.2</x:v>
      </x:c>
      <x:c r="Q69" s="104" t="n">
        <x:v>0</x:v>
      </x:c>
      <x:c r="R69" s="104" t="n">
        <x:v>-0.2</x:v>
      </x:c>
      <x:c r="S69" s="104" t="n">
        <x:v>-15</x:v>
      </x:c>
      <x:c r="T69" s="104" t="n">
        <x:v>-19.6</x:v>
      </x:c>
      <x:c r="U69" s="104" t="n">
        <x:v>4.6</x:v>
      </x:c>
      <x:c r="V69" s="104" t="n">
        <x:v>-5.8</x:v>
      </x:c>
      <x:c r="W69" s="103" t="n">
        <x:v>0</x:v>
      </x:c>
      <x:c r="X69" s="105" t="str">
        <x:v>Wild Card made the permanent rebuild free; Forecasted competitive-order change called for 4 lineup changes and a 26.6-utility improvement; this is the upgrade/order-shift proxy.; was -5.8 utility on this explanatory pairing but enabled the higher-utility seven-asset lineup; gave up 5.8 projected pts; forecast price change -0.2M; negative-P5 exposure +4.6; released $3.6M.</x:v>
      </x:c>
    </x:row>
    <x:row r="70" ht="44" customHeight="1">
      <x:c r="A70" s="101" t="str">
        <x:v>Max Points</x:v>
      </x:c>
      <x:c r="B70" s="101" t="str">
        <x:v>Maximum tolerance</x:v>
      </x:c>
      <x:c r="C70" s="101" t="n">
        <x:v>12</x:v>
      </x:c>
      <x:c r="D70" s="101" t="str">
        <x:v>Belgian Grand Prix</x:v>
      </x:c>
      <x:c r="E70" s="101" t="str">
        <x:v>genuine</x:v>
      </x:c>
      <x:c r="F70" s="101" t="str">
        <x:v>wild card</x:v>
      </x:c>
      <x:c r="G70" s="101" t="str">
        <x:v>driver</x:v>
      </x:c>
      <x:c r="H70" s="101" t="str">
        <x:v>LIN</x:v>
      </x:c>
      <x:c r="I70" s="101" t="str">
        <x:v>HAD</x:v>
      </x:c>
      <x:c r="J70" s="102" t="n">
        <x:v>6.8</x:v>
      </x:c>
      <x:c r="K70" s="102" t="n">
        <x:v>13.3</x:v>
      </x:c>
      <x:c r="L70" s="102" t="n">
        <x:v>6.5</x:v>
      </x:c>
      <x:c r="M70" s="104" t="n">
        <x:v>3.9</x:v>
      </x:c>
      <x:c r="N70" s="104" t="n">
        <x:v>33.3</x:v>
      </x:c>
      <x:c r="O70" s="104" t="n">
        <x:v>29.4</x:v>
      </x:c>
      <x:c r="P70" s="104" t="n">
        <x:v>0.6</x:v>
      </x:c>
      <x:c r="Q70" s="104" t="n">
        <x:v>0.6</x:v>
      </x:c>
      <x:c r="R70" s="104" t="n">
        <x:v>0</x:v>
      </x:c>
      <x:c r="S70" s="104" t="n">
        <x:v>-14.2</x:v>
      </x:c>
      <x:c r="T70" s="104" t="n">
        <x:v>-14.7</x:v>
      </x:c>
      <x:c r="U70" s="104" t="n">
        <x:v>0.5</x:v>
      </x:c>
      <x:c r="V70" s="104" t="n">
        <x:v>29.4</x:v>
      </x:c>
      <x:c r="W70" s="103" t="n">
        <x:v>0</x:v>
      </x:c>
      <x:c r="X70" s="105" t="str">
        <x:v>Wild Card made the permanent rebuild free; Forecasted competitive-order change called for 4 lineup changes and a 26.6-utility improvement; this is the upgrade/order-shift proxy.; raised approximate per-asset strategy/risk utility by +29.4; projection +29.4 pts; negative-P5 exposure +0.5; spent $6.5M more; became the projected 2x captain.</x:v>
      </x:c>
    </x:row>
    <x:row r="71" ht="44" customHeight="1">
      <x:c r="A71" s="101" t="str">
        <x:v>Max Points</x:v>
      </x:c>
      <x:c r="B71" s="101" t="str">
        <x:v>Maximum tolerance</x:v>
      </x:c>
      <x:c r="C71" s="101" t="n">
        <x:v>12</x:v>
      </x:c>
      <x:c r="D71" s="101" t="str">
        <x:v>Belgian Grand Prix</x:v>
      </x:c>
      <x:c r="E71" s="101" t="str">
        <x:v>genuine</x:v>
      </x:c>
      <x:c r="F71" s="101" t="str">
        <x:v>wild card</x:v>
      </x:c>
      <x:c r="G71" s="101" t="str">
        <x:v>constructor</x:v>
      </x:c>
      <x:c r="H71" s="101" t="str">
        <x:v>mercedes</x:v>
      </x:c>
      <x:c r="I71" s="101" t="str">
        <x:v>red_bull</x:v>
      </x:c>
      <x:c r="J71" s="102" t="n">
        <x:v>32</x:v>
      </x:c>
      <x:c r="K71" s="102" t="n">
        <x:v>30.3</x:v>
      </x:c>
      <x:c r="L71" s="102" t="n">
        <x:v>-1.7</x:v>
      </x:c>
      <x:c r="M71" s="104" t="n">
        <x:v>59.1</x:v>
      </x:c>
      <x:c r="N71" s="104" t="n">
        <x:v>68.4</x:v>
      </x:c>
      <x:c r="O71" s="104" t="n">
        <x:v>9.3</x:v>
      </x:c>
      <x:c r="P71" s="104" t="n">
        <x:v>0.3</x:v>
      </x:c>
      <x:c r="Q71" s="104" t="n">
        <x:v>0.3</x:v>
      </x:c>
      <x:c r="R71" s="104" t="n">
        <x:v>0</x:v>
      </x:c>
      <x:c r="S71" s="104" t="n">
        <x:v>19.8</x:v>
      </x:c>
      <x:c r="T71" s="104" t="n">
        <x:v>12.9</x:v>
      </x:c>
      <x:c r="U71" s="104" t="n">
        <x:v>0</x:v>
      </x:c>
      <x:c r="V71" s="104" t="n">
        <x:v>9.3</x:v>
      </x:c>
      <x:c r="W71" s="103" t="n">
        <x:v>0</x:v>
      </x:c>
      <x:c r="X71" s="105" t="str">
        <x:v>Wild Card made the permanent rebuild free; Forecasted competitive-order change called for 4 lineup changes and a 26.6-utility improvement; this is the upgrade/order-shift proxy.; raised approximate per-asset strategy/risk utility by +9.3; projection +9.3 pts; released $1.7M.</x:v>
      </x:c>
    </x:row>
    <x:row r="72" ht="44" customHeight="1">
      <x:c r="A72" s="101" t="str">
        <x:v>Max Points</x:v>
      </x:c>
      <x:c r="B72" s="101" t="str">
        <x:v>Maximum tolerance</x:v>
      </x:c>
      <x:c r="C72" s="101" t="n">
        <x:v>13</x:v>
      </x:c>
      <x:c r="D72" s="101" t="str">
        <x:v>Hungarian Grand Prix</x:v>
      </x:c>
      <x:c r="E72" s="101" t="str">
        <x:v>genuine</x:v>
      </x:c>
      <x:c r="F72" s="101" t="str"/>
      <x:c r="G72" s="101" t="str">
        <x:v>driver</x:v>
      </x:c>
      <x:c r="H72" s="101" t="str">
        <x:v>NOR</x:v>
      </x:c>
      <x:c r="I72" s="101" t="str">
        <x:v>HAM</x:v>
      </x:c>
      <x:c r="J72" s="102" t="n">
        <x:v>25.8</x:v>
      </x:c>
      <x:c r="K72" s="102" t="n">
        <x:v>24.9</x:v>
      </x:c>
      <x:c r="L72" s="102" t="n">
        <x:v>-0.9</x:v>
      </x:c>
      <x:c r="M72" s="104" t="n">
        <x:v>21.6</x:v>
      </x:c>
      <x:c r="N72" s="104" t="n">
        <x:v>28.5</x:v>
      </x:c>
      <x:c r="O72" s="104" t="n">
        <x:v>6.9</x:v>
      </x:c>
      <x:c r="P72" s="104" t="n">
        <x:v>0.3</x:v>
      </x:c>
      <x:c r="Q72" s="104" t="n">
        <x:v>0.1</x:v>
      </x:c>
      <x:c r="R72" s="104" t="n">
        <x:v>-0.2</x:v>
      </x:c>
      <x:c r="S72" s="104" t="n">
        <x:v>-10.7</x:v>
      </x:c>
      <x:c r="T72" s="104" t="n">
        <x:v>-6.1</x:v>
      </x:c>
      <x:c r="U72" s="104" t="n">
        <x:v>-4.6</x:v>
      </x:c>
      <x:c r="V72" s="104" t="n">
        <x:v>6.9</x:v>
      </x:c>
      <x:c r="W72" s="103" t="n">
        <x:v>0</x:v>
      </x:c>
      <x:c r="X72" s="105" t="str">
        <x:v>raised approximate per-asset strategy/risk utility by +6.9; projection +6.9 pts; forecast price change -0.2M; negative-P5 exposure -4.6; released $0.9M; became the projected 2x captain.</x:v>
      </x:c>
    </x:row>
    <x:row r="73" ht="44" customHeight="1">
      <x:c r="A73" s="101" t="str">
        <x:v>Max Points</x:v>
      </x:c>
      <x:c r="B73" s="101" t="str">
        <x:v>Maximum tolerance</x:v>
      </x:c>
      <x:c r="C73" s="101" t="n">
        <x:v>13</x:v>
      </x:c>
      <x:c r="D73" s="101" t="str">
        <x:v>Hungarian Grand Prix</x:v>
      </x:c>
      <x:c r="E73" s="101" t="str">
        <x:v>genuine</x:v>
      </x:c>
      <x:c r="F73" s="101" t="str"/>
      <x:c r="G73" s="101" t="str">
        <x:v>constructor</x:v>
      </x:c>
      <x:c r="H73" s="101" t="str">
        <x:v>red_bull</x:v>
      </x:c>
      <x:c r="I73" s="101" t="str">
        <x:v>mclaren</x:v>
      </x:c>
      <x:c r="J73" s="102" t="n">
        <x:v>30.6</x:v>
      </x:c>
      <x:c r="K73" s="102" t="n">
        <x:v>30.7</x:v>
      </x:c>
      <x:c r="L73" s="102" t="n">
        <x:v>0.1</x:v>
      </x:c>
      <x:c r="M73" s="104" t="n">
        <x:v>31.1</x:v>
      </x:c>
      <x:c r="N73" s="104" t="n">
        <x:v>51.8</x:v>
      </x:c>
      <x:c r="O73" s="104" t="n">
        <x:v>20.7</x:v>
      </x:c>
      <x:c r="P73" s="104" t="n">
        <x:v>0.3</x:v>
      </x:c>
      <x:c r="Q73" s="104" t="n">
        <x:v>0.3</x:v>
      </x:c>
      <x:c r="R73" s="104" t="n">
        <x:v>0</x:v>
      </x:c>
      <x:c r="S73" s="104" t="n">
        <x:v>2.5</x:v>
      </x:c>
      <x:c r="T73" s="104" t="n">
        <x:v>15.3</x:v>
      </x:c>
      <x:c r="U73" s="104" t="n">
        <x:v>0</x:v>
      </x:c>
      <x:c r="V73" s="104" t="n">
        <x:v>20.7</x:v>
      </x:c>
      <x:c r="W73" s="103" t="n">
        <x:v>0</x:v>
      </x:c>
      <x:c r="X73" s="105" t="str">
        <x:v>raised approximate per-asset strategy/risk utility by +20.7; projection +20.7 pts; spent $0.1M more.</x:v>
      </x:c>
    </x:row>
    <x:row r="74" ht="44" customHeight="1">
      <x:c r="A74" s="101" t="str">
        <x:v>Balanced</x:v>
      </x:c>
      <x:c r="B74" s="101" t="str">
        <x:v>Total avoidance</x:v>
      </x:c>
      <x:c r="C74" s="101" t="n">
        <x:v>2</x:v>
      </x:c>
      <x:c r="D74" s="101" t="str">
        <x:v>Chinese Grand Prix</x:v>
      </x:c>
      <x:c r="E74" s="101" t="str">
        <x:v>reconstructed</x:v>
      </x:c>
      <x:c r="F74" s="101" t="str"/>
      <x:c r="G74" s="101" t="str">
        <x:v>driver</x:v>
      </x:c>
      <x:c r="H74" s="101" t="str">
        <x:v>BOR</x:v>
      </x:c>
      <x:c r="I74" s="101" t="str">
        <x:v>HAM</x:v>
      </x:c>
      <x:c r="J74" s="102" t="n">
        <x:v>6.4</x:v>
      </x:c>
      <x:c r="K74" s="102" t="n">
        <x:v>22.9</x:v>
      </x:c>
      <x:c r="L74" s="102" t="n">
        <x:v>16.5</x:v>
      </x:c>
      <x:c r="M74" s="104" t="n">
        <x:v>12.1</x:v>
      </x:c>
      <x:c r="N74" s="104" t="n">
        <x:v>25</x:v>
      </x:c>
      <x:c r="O74" s="104" t="n">
        <x:v>12.9</x:v>
      </x:c>
      <x:c r="P74" s="104" t="n">
        <x:v>0.6</x:v>
      </x:c>
      <x:c r="Q74" s="104" t="n">
        <x:v>0.1</x:v>
      </x:c>
      <x:c r="R74" s="104" t="n">
        <x:v>-0.5</x:v>
      </x:c>
      <x:c r="S74" s="104" t="n">
        <x:v>-9</x:v>
      </x:c>
      <x:c r="T74" s="104" t="n">
        <x:v>3</x:v>
      </x:c>
      <x:c r="U74" s="104" t="n">
        <x:v>-9</x:v>
      </x:c>
      <x:c r="V74" s="104"/>
      <x:c r="W74" s="103" t="n">
        <x:v>10</x:v>
      </x:c>
      <x:c r="X74" s="105" t="str">
        <x:v>cut negative-P5 exposure by 9.0, the profile's first priority; projection +12.9 pts; forecast price change -0.5M; negative-P5 exposure -9.0; spent $16.5M more.</x:v>
      </x:c>
    </x:row>
    <x:row r="75" ht="44" customHeight="1">
      <x:c r="A75" s="101" t="str">
        <x:v>Balanced</x:v>
      </x:c>
      <x:c r="B75" s="101" t="str">
        <x:v>Total avoidance</x:v>
      </x:c>
      <x:c r="C75" s="101" t="n">
        <x:v>2</x:v>
      </x:c>
      <x:c r="D75" s="101" t="str">
        <x:v>Chinese Grand Prix</x:v>
      </x:c>
      <x:c r="E75" s="101" t="str">
        <x:v>reconstructed</x:v>
      </x:c>
      <x:c r="F75" s="101" t="str"/>
      <x:c r="G75" s="101" t="str">
        <x:v>driver</x:v>
      </x:c>
      <x:c r="H75" s="101" t="str">
        <x:v>RUS</x:v>
      </x:c>
      <x:c r="I75" s="101" t="str">
        <x:v>ANT</x:v>
      </x:c>
      <x:c r="J75" s="102" t="n">
        <x:v>28</x:v>
      </x:c>
      <x:c r="K75" s="102" t="n">
        <x:v>23.8</x:v>
      </x:c>
      <x:c r="L75" s="102" t="n">
        <x:v>-4.2</x:v>
      </x:c>
      <x:c r="M75" s="104" t="n">
        <x:v>45.5</x:v>
      </x:c>
      <x:c r="N75" s="104" t="n">
        <x:v>48.2</x:v>
      </x:c>
      <x:c r="O75" s="104" t="n">
        <x:v>2.7</x:v>
      </x:c>
      <x:c r="P75" s="104" t="n">
        <x:v>0.3</x:v>
      </x:c>
      <x:c r="Q75" s="104" t="n">
        <x:v>0.3</x:v>
      </x:c>
      <x:c r="R75" s="104" t="n">
        <x:v>0</x:v>
      </x:c>
      <x:c r="S75" s="104" t="n">
        <x:v>19</x:v>
      </x:c>
      <x:c r="T75" s="104" t="n">
        <x:v>19</x:v>
      </x:c>
      <x:c r="U75" s="104" t="n">
        <x:v>0</x:v>
      </x:c>
      <x:c r="V75" s="104"/>
      <x:c r="W75" s="103" t="n">
        <x:v>10</x:v>
      </x:c>
      <x:c r="X75" s="105" t="str">
        <x:v>preserved the minimum feasible negative-P5 exposure; projection +2.7 pts; released $4.2M; became the projected 2x captain.</x:v>
      </x:c>
    </x:row>
    <x:row r="76" ht="44" customHeight="1">
      <x:c r="A76" s="101" t="str">
        <x:v>Balanced</x:v>
      </x:c>
      <x:c r="B76" s="101" t="str">
        <x:v>Total avoidance</x:v>
      </x:c>
      <x:c r="C76" s="101" t="n">
        <x:v>2</x:v>
      </x:c>
      <x:c r="D76" s="101" t="str">
        <x:v>Chinese Grand Prix</x:v>
      </x:c>
      <x:c r="E76" s="101" t="str">
        <x:v>reconstructed</x:v>
      </x:c>
      <x:c r="F76" s="101" t="str"/>
      <x:c r="G76" s="101" t="str">
        <x:v>constructor</x:v>
      </x:c>
      <x:c r="H76" s="101" t="str">
        <x:v>williams</x:v>
      </x:c>
      <x:c r="I76" s="101" t="str">
        <x:v>audi</x:v>
      </x:c>
      <x:c r="J76" s="102" t="n">
        <x:v>13.2</x:v>
      </x:c>
      <x:c r="K76" s="102" t="n">
        <x:v>5.4</x:v>
      </x:c>
      <x:c r="L76" s="102" t="n">
        <x:v>-7.8</x:v>
      </x:c>
      <x:c r="M76" s="104" t="n">
        <x:v>37.8</x:v>
      </x:c>
      <x:c r="N76" s="104" t="n">
        <x:v>33.9</x:v>
      </x:c>
      <x:c r="O76" s="104" t="n">
        <x:v>-3.9</x:v>
      </x:c>
      <x:c r="P76" s="104" t="n">
        <x:v>0.6</x:v>
      </x:c>
      <x:c r="Q76" s="104" t="n">
        <x:v>0.6</x:v>
      </x:c>
      <x:c r="R76" s="104" t="n">
        <x:v>0</x:v>
      </x:c>
      <x:c r="S76" s="104" t="n">
        <x:v>7.5</x:v>
      </x:c>
      <x:c r="T76" s="104" t="n">
        <x:v>-5.5</x:v>
      </x:c>
      <x:c r="U76" s="104" t="n">
        <x:v>5.5</x:v>
      </x:c>
      <x:c r="V76" s="104"/>
      <x:c r="W76" s="103" t="n">
        <x:v>10</x:v>
      </x:c>
      <x:c r="X76" s="105" t="str">
        <x:v>accepted 5.5 more negative-P5 exposure only as part of the safest feasible full lineup; gave up 3.9 projected pts; negative-P5 exposure +5.5; released $7.8M.</x:v>
      </x:c>
    </x:row>
    <x:row r="77" ht="44" customHeight="1">
      <x:c r="A77" s="101" t="str">
        <x:v>Balanced</x:v>
      </x:c>
      <x:c r="B77" s="101" t="str">
        <x:v>Total avoidance</x:v>
      </x:c>
      <x:c r="C77" s="101" t="n">
        <x:v>3</x:v>
      </x:c>
      <x:c r="D77" s="101" t="str">
        <x:v>Japanese Grand Prix</x:v>
      </x:c>
      <x:c r="E77" s="101" t="str">
        <x:v>reconstructed</x:v>
      </x:c>
      <x:c r="F77" s="101" t="str"/>
      <x:c r="G77" s="101" t="str">
        <x:v>driver</x:v>
      </x:c>
      <x:c r="H77" s="101" t="str">
        <x:v>ALB</x:v>
      </x:c>
      <x:c r="I77" s="101" t="str">
        <x:v>LIN</x:v>
      </x:c>
      <x:c r="J77" s="102" t="n">
        <x:v>10.8</x:v>
      </x:c>
      <x:c r="K77" s="102" t="n">
        <x:v>7.4</x:v>
      </x:c>
      <x:c r="L77" s="102" t="n">
        <x:v>-3.4</x:v>
      </x:c>
      <x:c r="M77" s="104" t="n">
        <x:v>2.6</x:v>
      </x:c>
      <x:c r="N77" s="104" t="n">
        <x:v>10.4</x:v>
      </x:c>
      <x:c r="O77" s="104" t="n">
        <x:v>7.8</x:v>
      </x:c>
      <x:c r="P77" s="104" t="n">
        <x:v>-0.6</x:v>
      </x:c>
      <x:c r="Q77" s="104" t="n">
        <x:v>0.6</x:v>
      </x:c>
      <x:c r="R77" s="104" t="n">
        <x:v>1.2</x:v>
      </x:c>
      <x:c r="S77" s="104" t="n">
        <x:v>-6</x:v>
      </x:c>
      <x:c r="T77" s="104" t="n">
        <x:v>-2</x:v>
      </x:c>
      <x:c r="U77" s="104" t="n">
        <x:v>-4</x:v>
      </x:c>
      <x:c r="V77" s="104"/>
      <x:c r="W77" s="103" t="n">
        <x:v>10</x:v>
      </x:c>
      <x:c r="X77" s="105" t="str">
        <x:v>cut negative-P5 exposure by 4.0, the profile's first priority; projection +7.8 pts; forecast price change +1.2M; negative-P5 exposure -4.0; released $3.4M.</x:v>
      </x:c>
    </x:row>
    <x:row r="78" ht="44" customHeight="1">
      <x:c r="A78" s="101" t="str">
        <x:v>Balanced</x:v>
      </x:c>
      <x:c r="B78" s="101" t="str">
        <x:v>Total avoidance</x:v>
      </x:c>
      <x:c r="C78" s="101" t="n">
        <x:v>3</x:v>
      </x:c>
      <x:c r="D78" s="101" t="str">
        <x:v>Japanese Grand Prix</x:v>
      </x:c>
      <x:c r="E78" s="101" t="str">
        <x:v>reconstructed</x:v>
      </x:c>
      <x:c r="F78" s="101" t="str"/>
      <x:c r="G78" s="101" t="str">
        <x:v>constructor</x:v>
      </x:c>
      <x:c r="H78" s="101" t="str">
        <x:v>audi</x:v>
      </x:c>
      <x:c r="I78" s="101" t="str">
        <x:v>racing_bulls</x:v>
      </x:c>
      <x:c r="J78" s="102" t="n">
        <x:v>5.4</x:v>
      </x:c>
      <x:c r="K78" s="102" t="n">
        <x:v>7.5</x:v>
      </x:c>
      <x:c r="L78" s="102" t="n">
        <x:v>2.1</x:v>
      </x:c>
      <x:c r="M78" s="104" t="n">
        <x:v>19.4</x:v>
      </x:c>
      <x:c r="N78" s="104" t="n">
        <x:v>25.4</x:v>
      </x:c>
      <x:c r="O78" s="104" t="n">
        <x:v>6</x:v>
      </x:c>
      <x:c r="P78" s="104" t="n">
        <x:v>0.2</x:v>
      </x:c>
      <x:c r="Q78" s="104" t="n">
        <x:v>0.6</x:v>
      </x:c>
      <x:c r="R78" s="104" t="n">
        <x:v>0.4</x:v>
      </x:c>
      <x:c r="S78" s="104" t="n">
        <x:v>-9.5</x:v>
      </x:c>
      <x:c r="T78" s="104" t="n">
        <x:v>-4.5</x:v>
      </x:c>
      <x:c r="U78" s="104" t="n">
        <x:v>-5</x:v>
      </x:c>
      <x:c r="V78" s="104"/>
      <x:c r="W78" s="103" t="n">
        <x:v>10</x:v>
      </x:c>
      <x:c r="X78" s="105" t="str">
        <x:v>cut negative-P5 exposure by 5.0, the profile's first priority; projection +6.0 pts; forecast price change +0.4M; negative-P5 exposure -5.0; spent $2.1M more.</x:v>
      </x:c>
    </x:row>
    <x:row r="79" ht="44" customHeight="1">
      <x:c r="A79" s="101" t="str">
        <x:v>Balanced</x:v>
      </x:c>
      <x:c r="B79" s="101" t="str">
        <x:v>Total avoidance</x:v>
      </x:c>
      <x:c r="C79" s="101" t="n">
        <x:v>6</x:v>
      </x:c>
      <x:c r="D79" s="101" t="str">
        <x:v>Miami Grand Prix</x:v>
      </x:c>
      <x:c r="E79" s="101" t="str">
        <x:v>genuine</x:v>
      </x:c>
      <x:c r="F79" s="101" t="str"/>
      <x:c r="G79" s="101" t="str">
        <x:v>driver</x:v>
      </x:c>
      <x:c r="H79" s="101" t="str">
        <x:v>HAM</x:v>
      </x:c>
      <x:c r="I79" s="101" t="str">
        <x:v>LAW</x:v>
      </x:c>
      <x:c r="J79" s="102" t="n">
        <x:v>23.2</x:v>
      </x:c>
      <x:c r="K79" s="102" t="n">
        <x:v>7.5</x:v>
      </x:c>
      <x:c r="L79" s="102" t="n">
        <x:v>-15.7</x:v>
      </x:c>
      <x:c r="M79" s="104" t="n">
        <x:v>30.7</x:v>
      </x:c>
      <x:c r="N79" s="104" t="n">
        <x:v>23.4</x:v>
      </x:c>
      <x:c r="O79" s="104" t="n">
        <x:v>-7.3</x:v>
      </x:c>
      <x:c r="P79" s="104" t="n">
        <x:v>0.3</x:v>
      </x:c>
      <x:c r="Q79" s="104" t="n">
        <x:v>0.6</x:v>
      </x:c>
      <x:c r="R79" s="104" t="n">
        <x:v>0.3</x:v>
      </x:c>
      <x:c r="S79" s="104" t="n">
        <x:v>13</x:v>
      </x:c>
      <x:c r="T79" s="104" t="n">
        <x:v>1</x:v>
      </x:c>
      <x:c r="U79" s="104" t="n">
        <x:v>0</x:v>
      </x:c>
      <x:c r="V79" s="104"/>
      <x:c r="W79" s="103" t="n">
        <x:v>10</x:v>
      </x:c>
      <x:c r="X79" s="105" t="str">
        <x:v>preserved the minimum feasible negative-P5 exposure; gave up 7.3 projected pts; forecast price change +0.3M; released $15.7M.</x:v>
      </x:c>
    </x:row>
    <x:row r="80" ht="44" customHeight="1">
      <x:c r="A80" s="101" t="str">
        <x:v>Balanced</x:v>
      </x:c>
      <x:c r="B80" s="101" t="str">
        <x:v>Total avoidance</x:v>
      </x:c>
      <x:c r="C80" s="101" t="n">
        <x:v>6</x:v>
      </x:c>
      <x:c r="D80" s="101" t="str">
        <x:v>Miami Grand Prix</x:v>
      </x:c>
      <x:c r="E80" s="101" t="str">
        <x:v>genuine</x:v>
      </x:c>
      <x:c r="F80" s="101" t="str"/>
      <x:c r="G80" s="101" t="str">
        <x:v>constructor</x:v>
      </x:c>
      <x:c r="H80" s="101" t="str">
        <x:v>haas</x:v>
      </x:c>
      <x:c r="I80" s="101" t="str">
        <x:v>ferrari</x:v>
      </x:c>
      <x:c r="J80" s="102" t="n">
        <x:v>9.2</x:v>
      </x:c>
      <x:c r="K80" s="102" t="n">
        <x:v>24.2</x:v>
      </x:c>
      <x:c r="L80" s="102" t="n">
        <x:v>15</x:v>
      </x:c>
      <x:c r="M80" s="104" t="n">
        <x:v>44.6</x:v>
      </x:c>
      <x:c r="N80" s="104" t="n">
        <x:v>99.9</x:v>
      </x:c>
      <x:c r="O80" s="104" t="n">
        <x:v>55.3</x:v>
      </x:c>
      <x:c r="P80" s="104" t="n">
        <x:v>0.6</x:v>
      </x:c>
      <x:c r="Q80" s="104" t="n">
        <x:v>0.3</x:v>
      </x:c>
      <x:c r="R80" s="104" t="n">
        <x:v>-0.3</x:v>
      </x:c>
      <x:c r="S80" s="104" t="n">
        <x:v>5.5</x:v>
      </x:c>
      <x:c r="T80" s="104" t="n">
        <x:v>62.5</x:v>
      </x:c>
      <x:c r="U80" s="104" t="n">
        <x:v>0</x:v>
      </x:c>
      <x:c r="V80" s="104"/>
      <x:c r="W80" s="103" t="n">
        <x:v>10</x:v>
      </x:c>
      <x:c r="X80" s="105" t="str">
        <x:v>preserved the minimum feasible negative-P5 exposure; projection +55.3 pts; forecast price change -0.3M; spent $15.0M more.</x:v>
      </x:c>
    </x:row>
    <x:row r="81" ht="44" customHeight="1">
      <x:c r="A81" s="101" t="str">
        <x:v>Balanced</x:v>
      </x:c>
      <x:c r="B81" s="101" t="str">
        <x:v>Total avoidance</x:v>
      </x:c>
      <x:c r="C81" s="101" t="n">
        <x:v>7</x:v>
      </x:c>
      <x:c r="D81" s="101" t="str">
        <x:v>Canadian Grand Prix</x:v>
      </x:c>
      <x:c r="E81" s="101" t="str">
        <x:v>genuine</x:v>
      </x:c>
      <x:c r="F81" s="101" t="str">
        <x:v>wild card</x:v>
      </x:c>
      <x:c r="G81" s="101" t="str">
        <x:v>driver</x:v>
      </x:c>
      <x:c r="H81" s="101" t="str">
        <x:v>LAW</x:v>
      </x:c>
      <x:c r="I81" s="101" t="str">
        <x:v>COL</x:v>
      </x:c>
      <x:c r="J81" s="102" t="n">
        <x:v>8.1</x:v>
      </x:c>
      <x:c r="K81" s="102" t="n">
        <x:v>8.2</x:v>
      </x:c>
      <x:c r="L81" s="102" t="n">
        <x:v>0.1</x:v>
      </x:c>
      <x:c r="M81" s="104" t="n">
        <x:v>15.1</x:v>
      </x:c>
      <x:c r="N81" s="104" t="n">
        <x:v>15.9</x:v>
      </x:c>
      <x:c r="O81" s="104" t="n">
        <x:v>0.8</x:v>
      </x:c>
      <x:c r="P81" s="104" t="n">
        <x:v>-0.6</x:v>
      </x:c>
      <x:c r="Q81" s="104" t="n">
        <x:v>0.6</x:v>
      </x:c>
      <x:c r="R81" s="104" t="n">
        <x:v>1.2</x:v>
      </x:c>
      <x:c r="S81" s="104" t="n">
        <x:v>-16</x:v>
      </x:c>
      <x:c r="T81" s="104" t="n">
        <x:v>-6</x:v>
      </x:c>
      <x:c r="U81" s="104" t="n">
        <x:v>-10</x:v>
      </x:c>
      <x:c r="V81" s="104"/>
      <x:c r="W81" s="103" t="n">
        <x:v>0</x:v>
      </x:c>
      <x:c r="X81" s="105" t="str">
        <x:v>Wild Card made the permanent rebuild free; Forecasted competitive-order change called for 4 lineup changes and a 35.2-utility improvement; this is the upgrade/order-shift proxy.; cut negative-P5 exposure by 10.0, the profile's first priority; projection +0.8 pts; forecast price change +1.2M; negative-P5 exposure -10.0; spent $0.1M more.</x:v>
      </x:c>
    </x:row>
    <x:row r="82" ht="44" customHeight="1">
      <x:c r="A82" s="101" t="str">
        <x:v>Balanced</x:v>
      </x:c>
      <x:c r="B82" s="101" t="str">
        <x:v>Total avoidance</x:v>
      </x:c>
      <x:c r="C82" s="101" t="n">
        <x:v>7</x:v>
      </x:c>
      <x:c r="D82" s="101" t="str">
        <x:v>Canadian Grand Prix</x:v>
      </x:c>
      <x:c r="E82" s="101" t="str">
        <x:v>genuine</x:v>
      </x:c>
      <x:c r="F82" s="101" t="str">
        <x:v>wild card</x:v>
      </x:c>
      <x:c r="G82" s="101" t="str">
        <x:v>driver</x:v>
      </x:c>
      <x:c r="H82" s="101" t="str">
        <x:v>LEC</x:v>
      </x:c>
      <x:c r="I82" s="101" t="str">
        <x:v>NOR</x:v>
      </x:c>
      <x:c r="J82" s="102" t="n">
        <x:v>24</x:v>
      </x:c>
      <x:c r="K82" s="102" t="n">
        <x:v>26.4</x:v>
      </x:c>
      <x:c r="L82" s="102" t="n">
        <x:v>2.4</x:v>
      </x:c>
      <x:c r="M82" s="104" t="n">
        <x:v>30.3</x:v>
      </x:c>
      <x:c r="N82" s="104" t="n">
        <x:v>41.1</x:v>
      </x:c>
      <x:c r="O82" s="104" t="n">
        <x:v>10.8</x:v>
      </x:c>
      <x:c r="P82" s="104" t="n">
        <x:v>0.3</x:v>
      </x:c>
      <x:c r="Q82" s="104" t="n">
        <x:v>0.3</x:v>
      </x:c>
      <x:c r="R82" s="104" t="n">
        <x:v>0</x:v>
      </x:c>
      <x:c r="S82" s="104" t="n">
        <x:v>13</x:v>
      </x:c>
      <x:c r="T82" s="104" t="n">
        <x:v>19</x:v>
      </x:c>
      <x:c r="U82" s="104" t="n">
        <x:v>0</x:v>
      </x:c>
      <x:c r="V82" s="104"/>
      <x:c r="W82" s="103" t="n">
        <x:v>0</x:v>
      </x:c>
      <x:c r="X82" s="105" t="str">
        <x:v>Wild Card made the permanent rebuild free; Forecasted competitive-order change called for 4 lineup changes and a 35.2-utility improvement; this is the upgrade/order-shift proxy.; preserved the minimum feasible negative-P5 exposure; projection +10.8 pts; spent $2.4M more.</x:v>
      </x:c>
    </x:row>
    <x:row r="83" ht="44" customHeight="1">
      <x:c r="A83" s="101" t="str">
        <x:v>Balanced</x:v>
      </x:c>
      <x:c r="B83" s="101" t="str">
        <x:v>Total avoidance</x:v>
      </x:c>
      <x:c r="C83" s="101" t="n">
        <x:v>7</x:v>
      </x:c>
      <x:c r="D83" s="101" t="str">
        <x:v>Canadian Grand Prix</x:v>
      </x:c>
      <x:c r="E83" s="101" t="str">
        <x:v>genuine</x:v>
      </x:c>
      <x:c r="F83" s="101" t="str">
        <x:v>wild card</x:v>
      </x:c>
      <x:c r="G83" s="101" t="str">
        <x:v>driver</x:v>
      </x:c>
      <x:c r="H83" s="101" t="str">
        <x:v>LIN</x:v>
      </x:c>
      <x:c r="I83" s="101" t="str">
        <x:v>SAI</x:v>
      </x:c>
      <x:c r="J83" s="102" t="n">
        <x:v>7</x:v>
      </x:c>
      <x:c r="K83" s="102" t="n">
        <x:v>13</x:v>
      </x:c>
      <x:c r="L83" s="102" t="n">
        <x:v>6</x:v>
      </x:c>
      <x:c r="M83" s="104" t="n">
        <x:v>11.1</x:v>
      </x:c>
      <x:c r="N83" s="104" t="n">
        <x:v>15.2</x:v>
      </x:c>
      <x:c r="O83" s="104" t="n">
        <x:v>4.1</x:v>
      </x:c>
      <x:c r="P83" s="104" t="n">
        <x:v>-0.6</x:v>
      </x:c>
      <x:c r="Q83" s="104" t="n">
        <x:v>0.2</x:v>
      </x:c>
      <x:c r="R83" s="104" t="n">
        <x:v>0.8</x:v>
      </x:c>
      <x:c r="S83" s="104" t="n">
        <x:v>-6</x:v>
      </x:c>
      <x:c r="T83" s="104" t="n">
        <x:v>-2</x:v>
      </x:c>
      <x:c r="U83" s="104" t="n">
        <x:v>-4</x:v>
      </x:c>
      <x:c r="V83" s="104"/>
      <x:c r="W83" s="103" t="n">
        <x:v>0</x:v>
      </x:c>
      <x:c r="X83" s="105" t="str">
        <x:v>Wild Card made the permanent rebuild free; Forecasted competitive-order change called for 4 lineup changes and a 35.2-utility improvement; this is the upgrade/order-shift proxy.; cut negative-P5 exposure by 4.0, the profile's first priority; projection +4.1 pts; forecast price change +0.8M; negative-P5 exposure -4.0; spent $6.0M more.</x:v>
      </x:c>
    </x:row>
    <x:row r="84" ht="44" customHeight="1">
      <x:c r="A84" s="101" t="str">
        <x:v>Balanced</x:v>
      </x:c>
      <x:c r="B84" s="101" t="str">
        <x:v>Total avoidance</x:v>
      </x:c>
      <x:c r="C84" s="101" t="n">
        <x:v>7</x:v>
      </x:c>
      <x:c r="D84" s="101" t="str">
        <x:v>Canadian Grand Prix</x:v>
      </x:c>
      <x:c r="E84" s="101" t="str">
        <x:v>genuine</x:v>
      </x:c>
      <x:c r="F84" s="101" t="str">
        <x:v>wild card</x:v>
      </x:c>
      <x:c r="G84" s="101" t="str">
        <x:v>constructor</x:v>
      </x:c>
      <x:c r="H84" s="101" t="str">
        <x:v>ferrari</x:v>
      </x:c>
      <x:c r="I84" s="101" t="str">
        <x:v>williams</x:v>
      </x:c>
      <x:c r="J84" s="102" t="n">
        <x:v>24.5</x:v>
      </x:c>
      <x:c r="K84" s="102" t="n">
        <x:v>14.4</x:v>
      </x:c>
      <x:c r="L84" s="102" t="n">
        <x:v>-10.1</x:v>
      </x:c>
      <x:c r="M84" s="104" t="n">
        <x:v>84.8</x:v>
      </x:c>
      <x:c r="N84" s="104" t="n">
        <x:v>38.8</x:v>
      </x:c>
      <x:c r="O84" s="104" t="n">
        <x:v>-46</x:v>
      </x:c>
      <x:c r="P84" s="104" t="n">
        <x:v>0.3</x:v>
      </x:c>
      <x:c r="Q84" s="104" t="n">
        <x:v>0.6</x:v>
      </x:c>
      <x:c r="R84" s="104" t="n">
        <x:v>0.3</x:v>
      </x:c>
      <x:c r="S84" s="104" t="n">
        <x:v>50.5</x:v>
      </x:c>
      <x:c r="T84" s="104" t="n">
        <x:v>10.5</x:v>
      </x:c>
      <x:c r="U84" s="104" t="n">
        <x:v>0</x:v>
      </x:c>
      <x:c r="V84" s="104"/>
      <x:c r="W84" s="103" t="n">
        <x:v>0</x:v>
      </x:c>
      <x:c r="X84" s="105" t="str">
        <x:v>Wild Card made the permanent rebuild free; Forecasted competitive-order change called for 4 lineup changes and a 35.2-utility improvement; this is the upgrade/order-shift proxy.; preserved the minimum feasible negative-P5 exposure; gave up 46.0 projected pts; forecast price change +0.3M; released $10.1M.</x:v>
      </x:c>
    </x:row>
    <x:row r="85" ht="44" customHeight="1">
      <x:c r="A85" s="101" t="str">
        <x:v>Balanced</x:v>
      </x:c>
      <x:c r="B85" s="101" t="str">
        <x:v>Total avoidance</x:v>
      </x:c>
      <x:c r="C85" s="101" t="n">
        <x:v>9</x:v>
      </x:c>
      <x:c r="D85" s="101" t="str">
        <x:v>Spanish Grand Prix</x:v>
      </x:c>
      <x:c r="E85" s="101" t="str">
        <x:v>genuine</x:v>
      </x:c>
      <x:c r="F85" s="101" t="str"/>
      <x:c r="G85" s="101" t="str">
        <x:v>driver</x:v>
      </x:c>
      <x:c r="H85" s="101" t="str">
        <x:v>COL</x:v>
      </x:c>
      <x:c r="I85" s="101" t="str">
        <x:v>LIN</x:v>
      </x:c>
      <x:c r="J85" s="102" t="n">
        <x:v>9.4</x:v>
      </x:c>
      <x:c r="K85" s="102" t="n">
        <x:v>5.8</x:v>
      </x:c>
      <x:c r="L85" s="102" t="n">
        <x:v>-3.6</x:v>
      </x:c>
      <x:c r="M85" s="104" t="n">
        <x:v>5.5</x:v>
      </x:c>
      <x:c r="N85" s="104" t="n">
        <x:v>6.6</x:v>
      </x:c>
      <x:c r="O85" s="104" t="n">
        <x:v>1.1</x:v>
      </x:c>
      <x:c r="P85" s="104" t="n">
        <x:v>0.2</x:v>
      </x:c>
      <x:c r="Q85" s="104" t="n">
        <x:v>-0.6</x:v>
      </x:c>
      <x:c r="R85" s="104" t="n">
        <x:v>-0.8</x:v>
      </x:c>
      <x:c r="S85" s="104" t="n">
        <x:v>-3</x:v>
      </x:c>
      <x:c r="T85" s="104" t="n">
        <x:v>-2</x:v>
      </x:c>
      <x:c r="U85" s="104" t="n">
        <x:v>-1</x:v>
      </x:c>
      <x:c r="V85" s="104"/>
      <x:c r="W85" s="103" t="n">
        <x:v>10</x:v>
      </x:c>
      <x:c r="X85" s="105" t="str">
        <x:v>cut negative-P5 exposure by 1.0, the profile's first priority; projection +1.1 pts; forecast price change -0.8M; negative-P5 exposure -1.0; released $3.6M.</x:v>
      </x:c>
    </x:row>
    <x:row r="86" ht="44" customHeight="1">
      <x:c r="A86" s="101" t="str">
        <x:v>Balanced</x:v>
      </x:c>
      <x:c r="B86" s="101" t="str">
        <x:v>Total avoidance</x:v>
      </x:c>
      <x:c r="C86" s="101" t="n">
        <x:v>9</x:v>
      </x:c>
      <x:c r="D86" s="101" t="str">
        <x:v>Spanish Grand Prix</x:v>
      </x:c>
      <x:c r="E86" s="101" t="str">
        <x:v>genuine</x:v>
      </x:c>
      <x:c r="F86" s="101" t="str"/>
      <x:c r="G86" s="101" t="str">
        <x:v>driver</x:v>
      </x:c>
      <x:c r="H86" s="101" t="str">
        <x:v>NOR</x:v>
      </x:c>
      <x:c r="I86" s="101" t="str">
        <x:v>PIA</x:v>
      </x:c>
      <x:c r="J86" s="102" t="n">
        <x:v>26.2</x:v>
      </x:c>
      <x:c r="K86" s="102" t="n">
        <x:v>25.1</x:v>
      </x:c>
      <x:c r="L86" s="102" t="n">
        <x:v>-1.1</x:v>
      </x:c>
      <x:c r="M86" s="104" t="n">
        <x:v>24.1</x:v>
      </x:c>
      <x:c r="N86" s="104" t="n">
        <x:v>25.2</x:v>
      </x:c>
      <x:c r="O86" s="104" t="n">
        <x:v>1.1</x:v>
      </x:c>
      <x:c r="P86" s="104" t="n">
        <x:v>-0.3</x:v>
      </x:c>
      <x:c r="Q86" s="104" t="n">
        <x:v>-0.1</x:v>
      </x:c>
      <x:c r="R86" s="104" t="n">
        <x:v>0.2</x:v>
      </x:c>
      <x:c r="S86" s="104" t="n">
        <x:v>-6</x:v>
      </x:c>
      <x:c r="T86" s="104" t="n">
        <x:v>10</x:v>
      </x:c>
      <x:c r="U86" s="104" t="n">
        <x:v>-6</x:v>
      </x:c>
      <x:c r="V86" s="104"/>
      <x:c r="W86" s="103" t="n">
        <x:v>10</x:v>
      </x:c>
      <x:c r="X86" s="105" t="str">
        <x:v>cut negative-P5 exposure by 6.0, the profile's first priority; projection +1.1 pts; forecast price change +0.2M; negative-P5 exposure -6.0; released $1.1M.</x:v>
      </x:c>
    </x:row>
    <x:row r="87" ht="44" customHeight="1">
      <x:c r="A87" s="101" t="str">
        <x:v>Balanced</x:v>
      </x:c>
      <x:c r="B87" s="101" t="str">
        <x:v>Total avoidance</x:v>
      </x:c>
      <x:c r="C87" s="101" t="n">
        <x:v>9</x:v>
      </x:c>
      <x:c r="D87" s="101" t="str">
        <x:v>Spanish Grand Prix</x:v>
      </x:c>
      <x:c r="E87" s="101" t="str">
        <x:v>genuine</x:v>
      </x:c>
      <x:c r="F87" s="101" t="str"/>
      <x:c r="G87" s="101" t="str">
        <x:v>driver</x:v>
      </x:c>
      <x:c r="H87" s="101" t="str">
        <x:v>SAI</x:v>
      </x:c>
      <x:c r="I87" s="101" t="str">
        <x:v>HAM</x:v>
      </x:c>
      <x:c r="J87" s="102" t="n">
        <x:v>12.6</x:v>
      </x:c>
      <x:c r="K87" s="102" t="n">
        <x:v>23.9</x:v>
      </x:c>
      <x:c r="L87" s="102" t="n">
        <x:v>11.3</x:v>
      </x:c>
      <x:c r="M87" s="104" t="n">
        <x:v>1.7</x:v>
      </x:c>
      <x:c r="N87" s="104" t="n">
        <x:v>23.1</x:v>
      </x:c>
      <x:c r="O87" s="104" t="n">
        <x:v>21.4</x:v>
      </x:c>
      <x:c r="P87" s="104" t="n">
        <x:v>-0.6</x:v>
      </x:c>
      <x:c r="Q87" s="104" t="n">
        <x:v>0.3</x:v>
      </x:c>
      <x:c r="R87" s="104" t="n">
        <x:v>0.9</x:v>
      </x:c>
      <x:c r="S87" s="104" t="n">
        <x:v>-12</x:v>
      </x:c>
      <x:c r="T87" s="104" t="n">
        <x:v>7</x:v>
      </x:c>
      <x:c r="U87" s="104" t="n">
        <x:v>-12</x:v>
      </x:c>
      <x:c r="V87" s="104"/>
      <x:c r="W87" s="103" t="n">
        <x:v>10</x:v>
      </x:c>
      <x:c r="X87" s="105" t="str">
        <x:v>cut negative-P5 exposure by 12.0, the profile's first priority; projection +21.4 pts; forecast price change +0.9M; negative-P5 exposure -12.0; spent $11.3M more.</x:v>
      </x:c>
    </x:row>
    <x:row r="88" ht="44" customHeight="1">
      <x:c r="A88" s="101" t="str">
        <x:v>Balanced</x:v>
      </x:c>
      <x:c r="B88" s="101" t="str">
        <x:v>Total avoidance</x:v>
      </x:c>
      <x:c r="C88" s="101" t="n">
        <x:v>9</x:v>
      </x:c>
      <x:c r="D88" s="101" t="str">
        <x:v>Spanish Grand Prix</x:v>
      </x:c>
      <x:c r="E88" s="101" t="str">
        <x:v>genuine</x:v>
      </x:c>
      <x:c r="F88" s="101" t="str"/>
      <x:c r="G88" s="101" t="str">
        <x:v>constructor</x:v>
      </x:c>
      <x:c r="H88" s="101" t="str">
        <x:v>williams</x:v>
      </x:c>
      <x:c r="I88" s="101" t="str">
        <x:v>haas</x:v>
      </x:c>
      <x:c r="J88" s="102" t="n">
        <x:v>15.6</x:v>
      </x:c>
      <x:c r="K88" s="102" t="n">
        <x:v>10.6</x:v>
      </x:c>
      <x:c r="L88" s="102" t="n">
        <x:v>-5</x:v>
      </x:c>
      <x:c r="M88" s="104" t="n">
        <x:v>17.9</x:v>
      </x:c>
      <x:c r="N88" s="104" t="n">
        <x:v>22.5</x:v>
      </x:c>
      <x:c r="O88" s="104" t="n">
        <x:v>4.6</x:v>
      </x:c>
      <x:c r="P88" s="104" t="n">
        <x:v>-0.2</x:v>
      </x:c>
      <x:c r="Q88" s="104" t="n">
        <x:v>0.2</x:v>
      </x:c>
      <x:c r="R88" s="104" t="n">
        <x:v>0.4</x:v>
      </x:c>
      <x:c r="S88" s="104" t="n">
        <x:v>-5.5</x:v>
      </x:c>
      <x:c r="T88" s="104" t="n">
        <x:v>0.5</x:v>
      </x:c>
      <x:c r="U88" s="104" t="n">
        <x:v>-5.5</x:v>
      </x:c>
      <x:c r="V88" s="104"/>
      <x:c r="W88" s="103" t="n">
        <x:v>10</x:v>
      </x:c>
      <x:c r="X88" s="105" t="str">
        <x:v>cut negative-P5 exposure by 5.5, the profile's first priority; projection +4.6 pts; forecast price change +0.4M; negative-P5 exposure -5.5; released $5.0M.</x:v>
      </x:c>
    </x:row>
    <x:row r="89" ht="44" customHeight="1">
      <x:c r="A89" s="101" t="str">
        <x:v>Balanced</x:v>
      </x:c>
      <x:c r="B89" s="101" t="str">
        <x:v>Total avoidance</x:v>
      </x:c>
      <x:c r="C89" s="101" t="n">
        <x:v>10</x:v>
      </x:c>
      <x:c r="D89" s="101" t="str">
        <x:v>Austrian Grand Prix</x:v>
      </x:c>
      <x:c r="E89" s="101" t="str">
        <x:v>genuine</x:v>
      </x:c>
      <x:c r="F89" s="101" t="str">
        <x:v>no negative</x:v>
      </x:c>
      <x:c r="G89" s="101" t="str">
        <x:v>driver</x:v>
      </x:c>
      <x:c r="H89" s="101" t="str">
        <x:v>ANT</x:v>
      </x:c>
      <x:c r="I89" s="101" t="str">
        <x:v>COL</x:v>
      </x:c>
      <x:c r="J89" s="102" t="n">
        <x:v>25.3</x:v>
      </x:c>
      <x:c r="K89" s="102" t="n">
        <x:v>10</x:v>
      </x:c>
      <x:c r="L89" s="102" t="n">
        <x:v>-15.3</x:v>
      </x:c>
      <x:c r="M89" s="104" t="n">
        <x:v>27.7</x:v>
      </x:c>
      <x:c r="N89" s="104" t="n">
        <x:v>5.6</x:v>
      </x:c>
      <x:c r="O89" s="104" t="n">
        <x:v>-22.1</x:v>
      </x:c>
      <x:c r="P89" s="104" t="n">
        <x:v>0.1</x:v>
      </x:c>
      <x:c r="Q89" s="104" t="n">
        <x:v>-0.6</x:v>
      </x:c>
      <x:c r="R89" s="104" t="n">
        <x:v>-0.7</x:v>
      </x:c>
      <x:c r="S89" s="104" t="n">
        <x:v>-14.3</x:v>
      </x:c>
      <x:c r="T89" s="104" t="n">
        <x:v>-3</x:v>
      </x:c>
      <x:c r="U89" s="104" t="n">
        <x:v>-11.3</x:v>
      </x:c>
      <x:c r="V89" s="104"/>
      <x:c r="W89" s="103" t="n">
        <x:v>10</x:v>
      </x:c>
      <x:c r="X89" s="105" t="str">
        <x:v>cut negative-P5 exposure by 11.3, the profile's first priority; gave up 22.1 projected pts; forecast price change -0.7M; negative-P5 exposure -11.3; released $15.3M.</x:v>
      </x:c>
    </x:row>
    <x:row r="90" ht="44" customHeight="1">
      <x:c r="A90" s="101" t="str">
        <x:v>Balanced</x:v>
      </x:c>
      <x:c r="B90" s="101" t="str">
        <x:v>Total avoidance</x:v>
      </x:c>
      <x:c r="C90" s="101" t="n">
        <x:v>10</x:v>
      </x:c>
      <x:c r="D90" s="101" t="str">
        <x:v>Austrian Grand Prix</x:v>
      </x:c>
      <x:c r="E90" s="101" t="str">
        <x:v>genuine</x:v>
      </x:c>
      <x:c r="F90" s="101" t="str">
        <x:v>no negative</x:v>
      </x:c>
      <x:c r="G90" s="101" t="str">
        <x:v>constructor</x:v>
      </x:c>
      <x:c r="H90" s="101" t="str">
        <x:v>haas</x:v>
      </x:c>
      <x:c r="I90" s="101" t="str">
        <x:v>ferrari</x:v>
      </x:c>
      <x:c r="J90" s="102" t="n">
        <x:v>10.4</x:v>
      </x:c>
      <x:c r="K90" s="102" t="n">
        <x:v>25.4</x:v>
      </x:c>
      <x:c r="L90" s="102" t="n">
        <x:v>15</x:v>
      </x:c>
      <x:c r="M90" s="104" t="n">
        <x:v>16.4</x:v>
      </x:c>
      <x:c r="N90" s="104" t="n">
        <x:v>57.5</x:v>
      </x:c>
      <x:c r="O90" s="104" t="n">
        <x:v>41.1</x:v>
      </x:c>
      <x:c r="P90" s="104" t="n">
        <x:v>-0.2</x:v>
      </x:c>
      <x:c r="Q90" s="104" t="n">
        <x:v>0.3</x:v>
      </x:c>
      <x:c r="R90" s="104" t="n">
        <x:v>0.5</x:v>
      </x:c>
      <x:c r="S90" s="104" t="n">
        <x:v>-13.1</x:v>
      </x:c>
      <x:c r="T90" s="104" t="n">
        <x:v>16.8</x:v>
      </x:c>
      <x:c r="U90" s="104" t="n">
        <x:v>-13.1</x:v>
      </x:c>
      <x:c r="V90" s="104"/>
      <x:c r="W90" s="103" t="n">
        <x:v>10</x:v>
      </x:c>
      <x:c r="X90" s="105" t="str">
        <x:v>cut negative-P5 exposure by 13.1, the profile's first priority; projection +41.1 pts; forecast price change +0.5M; negative-P5 exposure -13.1; spent $15.0M more.</x:v>
      </x:c>
    </x:row>
    <x:row r="91" ht="44" customHeight="1">
      <x:c r="A91" s="101" t="str">
        <x:v>Balanced</x:v>
      </x:c>
      <x:c r="B91" s="101" t="str">
        <x:v>Total avoidance</x:v>
      </x:c>
      <x:c r="C91" s="101" t="n">
        <x:v>11</x:v>
      </x:c>
      <x:c r="D91" s="101" t="str">
        <x:v>British Grand Prix</x:v>
      </x:c>
      <x:c r="E91" s="101" t="str">
        <x:v>genuine</x:v>
      </x:c>
      <x:c r="F91" s="101" t="str">
        <x:v>autopilot</x:v>
      </x:c>
      <x:c r="G91" s="101" t="str">
        <x:v>driver</x:v>
      </x:c>
      <x:c r="H91" s="101" t="str">
        <x:v>PIA</x:v>
      </x:c>
      <x:c r="I91" s="101" t="str">
        <x:v>ANT</x:v>
      </x:c>
      <x:c r="J91" s="102" t="n">
        <x:v>24.9</x:v>
      </x:c>
      <x:c r="K91" s="102" t="n">
        <x:v>25.4</x:v>
      </x:c>
      <x:c r="L91" s="102" t="n">
        <x:v>0.5</x:v>
      </x:c>
      <x:c r="M91" s="104" t="n">
        <x:v>18.7</x:v>
      </x:c>
      <x:c r="N91" s="104" t="n">
        <x:v>31.2</x:v>
      </x:c>
      <x:c r="O91" s="104" t="n">
        <x:v>12.5</x:v>
      </x:c>
      <x:c r="P91" s="104" t="n">
        <x:v>-0.1</x:v>
      </x:c>
      <x:c r="Q91" s="104" t="n">
        <x:v>-0.1</x:v>
      </x:c>
      <x:c r="R91" s="104" t="n">
        <x:v>0</x:v>
      </x:c>
      <x:c r="S91" s="104" t="n">
        <x:v>-6.7</x:v>
      </x:c>
      <x:c r="T91" s="104" t="n">
        <x:v>0</x:v>
      </x:c>
      <x:c r="U91" s="104" t="n">
        <x:v>-6.7</x:v>
      </x:c>
      <x:c r="V91" s="104"/>
      <x:c r="W91" s="103" t="n">
        <x:v>0</x:v>
      </x:c>
      <x:c r="X91" s="105" t="str">
        <x:v>cut negative-P5 exposure by 6.7, the profile's first priority; projection +12.5 pts; negative-P5 exposure -6.7; spent $0.5M more.</x:v>
      </x:c>
    </x:row>
    <x:row r="92" ht="44" customHeight="1">
      <x:c r="A92" s="101" t="str">
        <x:v>Balanced</x:v>
      </x:c>
      <x:c r="B92" s="101" t="str">
        <x:v>Total avoidance</x:v>
      </x:c>
      <x:c r="C92" s="101" t="n">
        <x:v>12</x:v>
      </x:c>
      <x:c r="D92" s="101" t="str">
        <x:v>Belgian Grand Prix</x:v>
      </x:c>
      <x:c r="E92" s="101" t="str">
        <x:v>genuine</x:v>
      </x:c>
      <x:c r="F92" s="101" t="str"/>
      <x:c r="G92" s="101" t="str">
        <x:v>driver</x:v>
      </x:c>
      <x:c r="H92" s="101" t="str">
        <x:v>COL</x:v>
      </x:c>
      <x:c r="I92" s="101" t="str">
        <x:v>HAD</x:v>
      </x:c>
      <x:c r="J92" s="102" t="n">
        <x:v>10.4</x:v>
      </x:c>
      <x:c r="K92" s="102" t="n">
        <x:v>13.3</x:v>
      </x:c>
      <x:c r="L92" s="102" t="n">
        <x:v>2.9</x:v>
      </x:c>
      <x:c r="M92" s="104" t="n">
        <x:v>2.7</x:v>
      </x:c>
      <x:c r="N92" s="104" t="n">
        <x:v>33.3</x:v>
      </x:c>
      <x:c r="O92" s="104" t="n">
        <x:v>30.6</x:v>
      </x:c>
      <x:c r="P92" s="104" t="n">
        <x:v>0.6</x:v>
      </x:c>
      <x:c r="Q92" s="104" t="n">
        <x:v>0.6</x:v>
      </x:c>
      <x:c r="R92" s="104" t="n">
        <x:v>0</x:v>
      </x:c>
      <x:c r="S92" s="104" t="n">
        <x:v>-14.7</x:v>
      </x:c>
      <x:c r="T92" s="104" t="n">
        <x:v>-14.7</x:v>
      </x:c>
      <x:c r="U92" s="104" t="n">
        <x:v>0</x:v>
      </x:c>
      <x:c r="V92" s="104"/>
      <x:c r="W92" s="103" t="n">
        <x:v>10</x:v>
      </x:c>
      <x:c r="X92" s="105" t="str">
        <x:v>preserved the minimum feasible negative-P5 exposure; projection +30.6 pts; spent $2.9M more; became the projected 2x captain.</x:v>
      </x:c>
    </x:row>
    <x:row r="93" ht="44" customHeight="1">
      <x:c r="A93" s="101" t="str">
        <x:v>Balanced</x:v>
      </x:c>
      <x:c r="B93" s="101" t="str">
        <x:v>Total avoidance</x:v>
      </x:c>
      <x:c r="C93" s="101" t="n">
        <x:v>12</x:v>
      </x:c>
      <x:c r="D93" s="101" t="str">
        <x:v>Belgian Grand Prix</x:v>
      </x:c>
      <x:c r="E93" s="101" t="str">
        <x:v>genuine</x:v>
      </x:c>
      <x:c r="F93" s="101" t="str"/>
      <x:c r="G93" s="101" t="str">
        <x:v>driver</x:v>
      </x:c>
      <x:c r="H93" s="101" t="str">
        <x:v>OCO</x:v>
      </x:c>
      <x:c r="I93" s="101" t="str">
        <x:v>BOR</x:v>
      </x:c>
      <x:c r="J93" s="102" t="n">
        <x:v>10.3</x:v>
      </x:c>
      <x:c r="K93" s="102" t="n">
        <x:v>6.6</x:v>
      </x:c>
      <x:c r="L93" s="102" t="n">
        <x:v>-3.7</x:v>
      </x:c>
      <x:c r="M93" s="104" t="n">
        <x:v>3.2</x:v>
      </x:c>
      <x:c r="N93" s="104" t="n">
        <x:v>1.9</x:v>
      </x:c>
      <x:c r="O93" s="104" t="n">
        <x:v>-1.3</x:v>
      </x:c>
      <x:c r="P93" s="104" t="n">
        <x:v>0.2</x:v>
      </x:c>
      <x:c r="Q93" s="104" t="n">
        <x:v>0.2</x:v>
      </x:c>
      <x:c r="R93" s="104" t="n">
        <x:v>0</x:v>
      </x:c>
      <x:c r="S93" s="104" t="n">
        <x:v>-15.4</x:v>
      </x:c>
      <x:c r="T93" s="104" t="n">
        <x:v>-15</x:v>
      </x:c>
      <x:c r="U93" s="104" t="n">
        <x:v>-0.4</x:v>
      </x:c>
      <x:c r="V93" s="104"/>
      <x:c r="W93" s="103" t="n">
        <x:v>10</x:v>
      </x:c>
      <x:c r="X93" s="105" t="str">
        <x:v>cut negative-P5 exposure by 0.4, the profile's first priority; gave up 1.3 projected pts; negative-P5 exposure -0.4; released $3.7M.</x:v>
      </x:c>
    </x:row>
    <x:row r="94" ht="44" customHeight="1">
      <x:c r="A94" s="101" t="str">
        <x:v>Balanced</x:v>
      </x:c>
      <x:c r="B94" s="101" t="str">
        <x:v>Minimal risk accepted</x:v>
      </x:c>
      <x:c r="C94" s="101" t="n">
        <x:v>2</x:v>
      </x:c>
      <x:c r="D94" s="101" t="str">
        <x:v>Chinese Grand Prix</x:v>
      </x:c>
      <x:c r="E94" s="101" t="str">
        <x:v>reconstructed</x:v>
      </x:c>
      <x:c r="F94" s="101" t="str"/>
      <x:c r="G94" s="101" t="str">
        <x:v>driver</x:v>
      </x:c>
      <x:c r="H94" s="101" t="str">
        <x:v>RUS</x:v>
      </x:c>
      <x:c r="I94" s="101" t="str">
        <x:v>ANT</x:v>
      </x:c>
      <x:c r="J94" s="102" t="n">
        <x:v>28</x:v>
      </x:c>
      <x:c r="K94" s="102" t="n">
        <x:v>23.8</x:v>
      </x:c>
      <x:c r="L94" s="102" t="n">
        <x:v>-4.2</x:v>
      </x:c>
      <x:c r="M94" s="104" t="n">
        <x:v>45.5</x:v>
      </x:c>
      <x:c r="N94" s="104" t="n">
        <x:v>48.2</x:v>
      </x:c>
      <x:c r="O94" s="104" t="n">
        <x:v>2.7</x:v>
      </x:c>
      <x:c r="P94" s="104" t="n">
        <x:v>0.3</x:v>
      </x:c>
      <x:c r="Q94" s="104" t="n">
        <x:v>0.3</x:v>
      </x:c>
      <x:c r="R94" s="104" t="n">
        <x:v>0</x:v>
      </x:c>
      <x:c r="S94" s="104" t="n">
        <x:v>19</x:v>
      </x:c>
      <x:c r="T94" s="104" t="n">
        <x:v>19</x:v>
      </x:c>
      <x:c r="U94" s="104" t="n">
        <x:v>0</x:v>
      </x:c>
      <x:c r="V94" s="104" t="n">
        <x:v>2.7</x:v>
      </x:c>
      <x:c r="W94" s="103" t="n">
        <x:v>0</x:v>
      </x:c>
      <x:c r="X94" s="105" t="str">
        <x:v>raised approximate per-asset strategy/risk utility by +2.7; projection +2.7 pts; released $4.2M; became the projected 2x captain.</x:v>
      </x:c>
    </x:row>
    <x:row r="95" ht="44" customHeight="1">
      <x:c r="A95" s="101" t="str">
        <x:v>Balanced</x:v>
      </x:c>
      <x:c r="B95" s="101" t="str">
        <x:v>Minimal risk accepted</x:v>
      </x:c>
      <x:c r="C95" s="101" t="n">
        <x:v>2</x:v>
      </x:c>
      <x:c r="D95" s="101" t="str">
        <x:v>Chinese Grand Prix</x:v>
      </x:c>
      <x:c r="E95" s="101" t="str">
        <x:v>reconstructed</x:v>
      </x:c>
      <x:c r="F95" s="101" t="str"/>
      <x:c r="G95" s="101" t="str">
        <x:v>constructor</x:v>
      </x:c>
      <x:c r="H95" s="101" t="str">
        <x:v>williams</x:v>
      </x:c>
      <x:c r="I95" s="101" t="str">
        <x:v>haas</x:v>
      </x:c>
      <x:c r="J95" s="102" t="n">
        <x:v>13.2</x:v>
      </x:c>
      <x:c r="K95" s="102" t="n">
        <x:v>8.6</x:v>
      </x:c>
      <x:c r="L95" s="102" t="n">
        <x:v>-4.6</x:v>
      </x:c>
      <x:c r="M95" s="104" t="n">
        <x:v>37.8</x:v>
      </x:c>
      <x:c r="N95" s="104" t="n">
        <x:v>39</x:v>
      </x:c>
      <x:c r="O95" s="104" t="n">
        <x:v>1.2</x:v>
      </x:c>
      <x:c r="P95" s="104" t="n">
        <x:v>0.6</x:v>
      </x:c>
      <x:c r="Q95" s="104" t="n">
        <x:v>0.6</x:v>
      </x:c>
      <x:c r="R95" s="104" t="n">
        <x:v>0</x:v>
      </x:c>
      <x:c r="S95" s="104" t="n">
        <x:v>7.5</x:v>
      </x:c>
      <x:c r="T95" s="104" t="n">
        <x:v>1.5</x:v>
      </x:c>
      <x:c r="U95" s="104" t="n">
        <x:v>0</x:v>
      </x:c>
      <x:c r="V95" s="104" t="n">
        <x:v>1.2</x:v>
      </x:c>
      <x:c r="W95" s="103" t="n">
        <x:v>0</x:v>
      </x:c>
      <x:c r="X95" s="105" t="str">
        <x:v>raised approximate per-asset strategy/risk utility by +1.2; projection +1.2 pts; released $4.6M.</x:v>
      </x:c>
    </x:row>
    <x:row r="96" ht="44" customHeight="1">
      <x:c r="A96" s="101" t="str">
        <x:v>Balanced</x:v>
      </x:c>
      <x:c r="B96" s="101" t="str">
        <x:v>Minimal risk accepted</x:v>
      </x:c>
      <x:c r="C96" s="101" t="n">
        <x:v>3</x:v>
      </x:c>
      <x:c r="D96" s="101" t="str">
        <x:v>Japanese Grand Prix</x:v>
      </x:c>
      <x:c r="E96" s="101" t="str">
        <x:v>reconstructed</x:v>
      </x:c>
      <x:c r="F96" s="101" t="str"/>
      <x:c r="G96" s="101" t="str">
        <x:v>driver</x:v>
      </x:c>
      <x:c r="H96" s="101" t="str">
        <x:v>ALB</x:v>
      </x:c>
      <x:c r="I96" s="101" t="str">
        <x:v>LIN</x:v>
      </x:c>
      <x:c r="J96" s="102" t="n">
        <x:v>10.8</x:v>
      </x:c>
      <x:c r="K96" s="102" t="n">
        <x:v>7.4</x:v>
      </x:c>
      <x:c r="L96" s="102" t="n">
        <x:v>-3.4</x:v>
      </x:c>
      <x:c r="M96" s="104" t="n">
        <x:v>2.6</x:v>
      </x:c>
      <x:c r="N96" s="104" t="n">
        <x:v>10.4</x:v>
      </x:c>
      <x:c r="O96" s="104" t="n">
        <x:v>7.8</x:v>
      </x:c>
      <x:c r="P96" s="104" t="n">
        <x:v>-0.6</x:v>
      </x:c>
      <x:c r="Q96" s="104" t="n">
        <x:v>0.6</x:v>
      </x:c>
      <x:c r="R96" s="104" t="n">
        <x:v>1.2</x:v>
      </x:c>
      <x:c r="S96" s="104" t="n">
        <x:v>-6</x:v>
      </x:c>
      <x:c r="T96" s="104" t="n">
        <x:v>-2</x:v>
      </x:c>
      <x:c r="U96" s="104" t="n">
        <x:v>-4</x:v>
      </x:c>
      <x:c r="V96" s="104" t="n">
        <x:v>25.4</x:v>
      </x:c>
      <x:c r="W96" s="103" t="n">
        <x:v>0</x:v>
      </x:c>
      <x:c r="X96" s="105" t="str">
        <x:v>raised approximate per-asset strategy/risk utility by +25.4; projection +7.8 pts; forecast price change +1.2M; negative-P5 exposure -4.0; released $3.4M.</x:v>
      </x:c>
    </x:row>
    <x:row r="97" ht="44" customHeight="1">
      <x:c r="A97" s="101" t="str">
        <x:v>Balanced</x:v>
      </x:c>
      <x:c r="B97" s="101" t="str">
        <x:v>Minimal risk accepted</x:v>
      </x:c>
      <x:c r="C97" s="101" t="n">
        <x:v>6</x:v>
      </x:c>
      <x:c r="D97" s="101" t="str">
        <x:v>Miami Grand Prix</x:v>
      </x:c>
      <x:c r="E97" s="101" t="str">
        <x:v>genuine</x:v>
      </x:c>
      <x:c r="F97" s="101" t="str"/>
      <x:c r="G97" s="101" t="str">
        <x:v>driver</x:v>
      </x:c>
      <x:c r="H97" s="101" t="str">
        <x:v>BOR</x:v>
      </x:c>
      <x:c r="I97" s="101" t="str">
        <x:v>LEC</x:v>
      </x:c>
      <x:c r="J97" s="102" t="n">
        <x:v>5.8</x:v>
      </x:c>
      <x:c r="K97" s="102" t="n">
        <x:v>23.7</x:v>
      </x:c>
      <x:c r="L97" s="102" t="n">
        <x:v>17.9</x:v>
      </x:c>
      <x:c r="M97" s="104" t="n">
        <x:v>13.5</x:v>
      </x:c>
      <x:c r="N97" s="104" t="n">
        <x:v>47.4</x:v>
      </x:c>
      <x:c r="O97" s="104" t="n">
        <x:v>33.9</x:v>
      </x:c>
      <x:c r="P97" s="104" t="n">
        <x:v>-0.6</x:v>
      </x:c>
      <x:c r="Q97" s="104" t="n">
        <x:v>0.3</x:v>
      </x:c>
      <x:c r="R97" s="104" t="n">
        <x:v>0.9</x:v>
      </x:c>
      <x:c r="S97" s="104" t="n">
        <x:v>-10</x:v>
      </x:c>
      <x:c r="T97" s="104" t="n">
        <x:v>22</x:v>
      </x:c>
      <x:c r="U97" s="104" t="n">
        <x:v>-10</x:v>
      </x:c>
      <x:c r="V97" s="104" t="n">
        <x:v>61.1</x:v>
      </x:c>
      <x:c r="W97" s="103" t="n">
        <x:v>10</x:v>
      </x:c>
      <x:c r="X97" s="105" t="str">
        <x:v>raised approximate per-asset strategy/risk utility by +61.1; projection +33.9 pts; forecast price change +0.9M; negative-P5 exposure -10.0; spent $17.9M more.</x:v>
      </x:c>
    </x:row>
    <x:row r="98" ht="44" customHeight="1">
      <x:c r="A98" s="101" t="str">
        <x:v>Balanced</x:v>
      </x:c>
      <x:c r="B98" s="101" t="str">
        <x:v>Minimal risk accepted</x:v>
      </x:c>
      <x:c r="C98" s="101" t="n">
        <x:v>6</x:v>
      </x:c>
      <x:c r="D98" s="101" t="str">
        <x:v>Miami Grand Prix</x:v>
      </x:c>
      <x:c r="E98" s="101" t="str">
        <x:v>genuine</x:v>
      </x:c>
      <x:c r="F98" s="101" t="str"/>
      <x:c r="G98" s="101" t="str">
        <x:v>constructor</x:v>
      </x:c>
      <x:c r="H98" s="101" t="str">
        <x:v>mercedes</x:v>
      </x:c>
      <x:c r="I98" s="101" t="str">
        <x:v>ferrari</x:v>
      </x:c>
      <x:c r="J98" s="102" t="n">
        <x:v>30.2</x:v>
      </x:c>
      <x:c r="K98" s="102" t="n">
        <x:v>24.2</x:v>
      </x:c>
      <x:c r="L98" s="102" t="n">
        <x:v>-6</x:v>
      </x:c>
      <x:c r="M98" s="104" t="n">
        <x:v>108.1</x:v>
      </x:c>
      <x:c r="N98" s="104" t="n">
        <x:v>99.9</x:v>
      </x:c>
      <x:c r="O98" s="104" t="n">
        <x:v>-8.2</x:v>
      </x:c>
      <x:c r="P98" s="104" t="n">
        <x:v>0.3</x:v>
      </x:c>
      <x:c r="Q98" s="104" t="n">
        <x:v>0.3</x:v>
      </x:c>
      <x:c r="R98" s="104" t="n">
        <x:v>0</x:v>
      </x:c>
      <x:c r="S98" s="104" t="n">
        <x:v>69.5</x:v>
      </x:c>
      <x:c r="T98" s="104" t="n">
        <x:v>62.5</x:v>
      </x:c>
      <x:c r="U98" s="104" t="n">
        <x:v>0</x:v>
      </x:c>
      <x:c r="V98" s="104" t="n">
        <x:v>-8.2</x:v>
      </x:c>
      <x:c r="W98" s="103" t="n">
        <x:v>10</x:v>
      </x:c>
      <x:c r="X98" s="105" t="str">
        <x:v>was -8.2 utility on this explanatory pairing but enabled the higher-utility seven-asset lineup; gave up 8.2 projected pts; released $6.0M.</x:v>
      </x:c>
    </x:row>
    <x:row r="99" ht="44" customHeight="1">
      <x:c r="A99" s="101" t="str">
        <x:v>Balanced</x:v>
      </x:c>
      <x:c r="B99" s="101" t="str">
        <x:v>Minimal risk accepted</x:v>
      </x:c>
      <x:c r="C99" s="101" t="n">
        <x:v>7</x:v>
      </x:c>
      <x:c r="D99" s="101" t="str">
        <x:v>Canadian Grand Prix</x:v>
      </x:c>
      <x:c r="E99" s="101" t="str">
        <x:v>genuine</x:v>
      </x:c>
      <x:c r="F99" s="101" t="str"/>
      <x:c r="G99" s="101" t="str">
        <x:v>driver</x:v>
      </x:c>
      <x:c r="H99" s="101" t="str">
        <x:v>LEC</x:v>
      </x:c>
      <x:c r="I99" s="101" t="str">
        <x:v>BOR</x:v>
      </x:c>
      <x:c r="J99" s="102" t="n">
        <x:v>24</x:v>
      </x:c>
      <x:c r="K99" s="102" t="n">
        <x:v>5.2</x:v>
      </x:c>
      <x:c r="L99" s="102" t="n">
        <x:v>-18.8</x:v>
      </x:c>
      <x:c r="M99" s="104" t="n">
        <x:v>30.3</x:v>
      </x:c>
      <x:c r="N99" s="104" t="n">
        <x:v>6.9</x:v>
      </x:c>
      <x:c r="O99" s="104" t="n">
        <x:v>-23.4</x:v>
      </x:c>
      <x:c r="P99" s="104" t="n">
        <x:v>0.3</x:v>
      </x:c>
      <x:c r="Q99" s="104" t="n">
        <x:v>0.2</x:v>
      </x:c>
      <x:c r="R99" s="104" t="n">
        <x:v>-0.1</x:v>
      </x:c>
      <x:c r="S99" s="104" t="n">
        <x:v>13</x:v>
      </x:c>
      <x:c r="T99" s="104" t="n">
        <x:v>-10</x:v>
      </x:c>
      <x:c r="U99" s="104" t="n">
        <x:v>10</x:v>
      </x:c>
      <x:c r="V99" s="104" t="n">
        <x:v>-44.2</x:v>
      </x:c>
      <x:c r="W99" s="103" t="n">
        <x:v>10</x:v>
      </x:c>
      <x:c r="X99" s="105" t="str">
        <x:v>was -44.2 utility on this explanatory pairing but enabled the higher-utility seven-asset lineup; gave up 23.4 projected pts; forecast price change -0.1M; negative-P5 exposure +10.0; released $18.8M.</x:v>
      </x:c>
    </x:row>
    <x:row r="100" ht="44" customHeight="1">
      <x:c r="A100" s="101" t="str">
        <x:v>Balanced</x:v>
      </x:c>
      <x:c r="B100" s="101" t="str">
        <x:v>Minimal risk accepted</x:v>
      </x:c>
      <x:c r="C100" s="101" t="n">
        <x:v>7</x:v>
      </x:c>
      <x:c r="D100" s="101" t="str">
        <x:v>Canadian Grand Prix</x:v>
      </x:c>
      <x:c r="E100" s="101" t="str">
        <x:v>genuine</x:v>
      </x:c>
      <x:c r="F100" s="101" t="str"/>
      <x:c r="G100" s="101" t="str">
        <x:v>constructor</x:v>
      </x:c>
      <x:c r="H100" s="101" t="str">
        <x:v>haas</x:v>
      </x:c>
      <x:c r="I100" s="101" t="str">
        <x:v>mclaren</x:v>
      </x:c>
      <x:c r="J100" s="102" t="n">
        <x:v>9.8</x:v>
      </x:c>
      <x:c r="K100" s="102" t="n">
        <x:v>28.9</x:v>
      </x:c>
      <x:c r="L100" s="102" t="n">
        <x:v>19.1</x:v>
      </x:c>
      <x:c r="M100" s="104" t="n">
        <x:v>31.7</x:v>
      </x:c>
      <x:c r="N100" s="104" t="n">
        <x:v>101.1</x:v>
      </x:c>
      <x:c r="O100" s="104" t="n">
        <x:v>69.4</x:v>
      </x:c>
      <x:c r="P100" s="104" t="n">
        <x:v>0.6</x:v>
      </x:c>
      <x:c r="Q100" s="104" t="n">
        <x:v>0.3</x:v>
      </x:c>
      <x:c r="R100" s="104" t="n">
        <x:v>-0.3</x:v>
      </x:c>
      <x:c r="S100" s="104" t="n">
        <x:v>-4.5</x:v>
      </x:c>
      <x:c r="T100" s="104" t="n">
        <x:v>65.5</x:v>
      </x:c>
      <x:c r="U100" s="104" t="n">
        <x:v>-4.5</x:v>
      </x:c>
      <x:c r="V100" s="104" t="n">
        <x:v>76</x:v>
      </x:c>
      <x:c r="W100" s="103" t="n">
        <x:v>10</x:v>
      </x:c>
      <x:c r="X100" s="105" t="str">
        <x:v>raised approximate per-asset strategy/risk utility by +76.0; projection +69.4 pts; forecast price change -0.3M; negative-P5 exposure -4.5; spent $19.1M more.</x:v>
      </x:c>
    </x:row>
    <x:row r="101" ht="44" customHeight="1">
      <x:c r="A101" s="101" t="str">
        <x:v>Balanced</x:v>
      </x:c>
      <x:c r="B101" s="101" t="str">
        <x:v>Minimal risk accepted</x:v>
      </x:c>
      <x:c r="C101" s="101" t="n">
        <x:v>10</x:v>
      </x:c>
      <x:c r="D101" s="101" t="str">
        <x:v>Austrian Grand Prix</x:v>
      </x:c>
      <x:c r="E101" s="101" t="str">
        <x:v>genuine</x:v>
      </x:c>
      <x:c r="F101" s="101" t="str">
        <x:v>no negative</x:v>
      </x:c>
      <x:c r="G101" s="101" t="str">
        <x:v>driver</x:v>
      </x:c>
      <x:c r="H101" s="101" t="str">
        <x:v>ANT</x:v>
      </x:c>
      <x:c r="I101" s="101" t="str">
        <x:v>HAM</x:v>
      </x:c>
      <x:c r="J101" s="102" t="n">
        <x:v>25.3</x:v>
      </x:c>
      <x:c r="K101" s="102" t="n">
        <x:v>24.2</x:v>
      </x:c>
      <x:c r="L101" s="102" t="n">
        <x:v>-1.1</x:v>
      </x:c>
      <x:c r="M101" s="104" t="n">
        <x:v>27.7</x:v>
      </x:c>
      <x:c r="N101" s="104" t="n">
        <x:v>23.1</x:v>
      </x:c>
      <x:c r="O101" s="104" t="n">
        <x:v>-4.6</x:v>
      </x:c>
      <x:c r="P101" s="104" t="n">
        <x:v>0.1</x:v>
      </x:c>
      <x:c r="Q101" s="104" t="n">
        <x:v>0.3</x:v>
      </x:c>
      <x:c r="R101" s="104" t="n">
        <x:v>0.2</x:v>
      </x:c>
      <x:c r="S101" s="104" t="n">
        <x:v>-14.3</x:v>
      </x:c>
      <x:c r="T101" s="104" t="n">
        <x:v>11</x:v>
      </x:c>
      <x:c r="U101" s="104" t="n">
        <x:v>-14.3</x:v>
      </x:c>
      <x:c r="V101" s="104" t="n">
        <x:v>25.6</x:v>
      </x:c>
      <x:c r="W101" s="103" t="n">
        <x:v>0</x:v>
      </x:c>
      <x:c r="X101" s="105" t="str">
        <x:v>raised approximate per-asset strategy/risk utility by +25.6; gave up 4.6 projected pts; forecast price change +0.2M; negative-P5 exposure -14.3; released $1.1M; became the projected 2x captain.</x:v>
      </x:c>
    </x:row>
    <x:row r="102" ht="44" customHeight="1">
      <x:c r="A102" s="101" t="str">
        <x:v>Balanced</x:v>
      </x:c>
      <x:c r="B102" s="101" t="str">
        <x:v>Minimal risk accepted</x:v>
      </x:c>
      <x:c r="C102" s="101" t="n">
        <x:v>11</x:v>
      </x:c>
      <x:c r="D102" s="101" t="str">
        <x:v>British Grand Prix</x:v>
      </x:c>
      <x:c r="E102" s="101" t="str">
        <x:v>genuine</x:v>
      </x:c>
      <x:c r="F102" s="101" t="str">
        <x:v>autopilot</x:v>
      </x:c>
      <x:c r="G102" s="101" t="str">
        <x:v>driver</x:v>
      </x:c>
      <x:c r="H102" s="101" t="str">
        <x:v>HAM</x:v>
      </x:c>
      <x:c r="I102" s="101" t="str">
        <x:v>ANT</x:v>
      </x:c>
      <x:c r="J102" s="102" t="n">
        <x:v>24.5</x:v>
      </x:c>
      <x:c r="K102" s="102" t="n">
        <x:v>25.4</x:v>
      </x:c>
      <x:c r="L102" s="102" t="n">
        <x:v>0.9</x:v>
      </x:c>
      <x:c r="M102" s="104" t="n">
        <x:v>30.2</x:v>
      </x:c>
      <x:c r="N102" s="104" t="n">
        <x:v>31.2</x:v>
      </x:c>
      <x:c r="O102" s="104" t="n">
        <x:v>1</x:v>
      </x:c>
      <x:c r="P102" s="104" t="n">
        <x:v>0.3</x:v>
      </x:c>
      <x:c r="Q102" s="104" t="n">
        <x:v>-0.1</x:v>
      </x:c>
      <x:c r="R102" s="104" t="n">
        <x:v>-0.4</x:v>
      </x:c>
      <x:c r="S102" s="104" t="n">
        <x:v>-2</x:v>
      </x:c>
      <x:c r="T102" s="104" t="n">
        <x:v>0</x:v>
      </x:c>
      <x:c r="U102" s="104" t="n">
        <x:v>-2</x:v>
      </x:c>
      <x:c r="V102" s="104" t="n">
        <x:v>1.8</x:v>
      </x:c>
      <x:c r="W102" s="103" t="n">
        <x:v>0</x:v>
      </x:c>
      <x:c r="X102" s="105" t="str">
        <x:v>raised approximate per-asset strategy/risk utility by +1.8; projection +1.0 pts; forecast price change -0.4M; negative-P5 exposure -2.0; spent $0.9M more.</x:v>
      </x:c>
    </x:row>
    <x:row r="103" ht="44" customHeight="1">
      <x:c r="A103" s="101" t="str">
        <x:v>Balanced</x:v>
      </x:c>
      <x:c r="B103" s="101" t="str">
        <x:v>Minimal risk accepted</x:v>
      </x:c>
      <x:c r="C103" s="101" t="n">
        <x:v>11</x:v>
      </x:c>
      <x:c r="D103" s="101" t="str">
        <x:v>British Grand Prix</x:v>
      </x:c>
      <x:c r="E103" s="101" t="str">
        <x:v>genuine</x:v>
      </x:c>
      <x:c r="F103" s="101" t="str">
        <x:v>autopilot</x:v>
      </x:c>
      <x:c r="G103" s="101" t="str">
        <x:v>driver</x:v>
      </x:c>
      <x:c r="H103" s="101" t="str">
        <x:v>OCO</x:v>
      </x:c>
      <x:c r="I103" s="101" t="str">
        <x:v>VER</x:v>
      </x:c>
      <x:c r="J103" s="102" t="n">
        <x:v>10.1</x:v>
      </x:c>
      <x:c r="K103" s="102" t="n">
        <x:v>27.9</x:v>
      </x:c>
      <x:c r="L103" s="102" t="n">
        <x:v>17.8</x:v>
      </x:c>
      <x:c r="M103" s="104" t="n">
        <x:v>11.3</x:v>
      </x:c>
      <x:c r="N103" s="104" t="n">
        <x:v>34.7</x:v>
      </x:c>
      <x:c r="O103" s="104" t="n">
        <x:v>23.4</x:v>
      </x:c>
      <x:c r="P103" s="104" t="n">
        <x:v>-0.2</x:v>
      </x:c>
      <x:c r="Q103" s="104" t="n">
        <x:v>0.1</x:v>
      </x:c>
      <x:c r="R103" s="104" t="n">
        <x:v>0.3</x:v>
      </x:c>
      <x:c r="S103" s="104" t="n">
        <x:v>-10</x:v>
      </x:c>
      <x:c r="T103" s="104" t="n">
        <x:v>0</x:v>
      </x:c>
      <x:c r="U103" s="104" t="n">
        <x:v>-10</x:v>
      </x:c>
      <x:c r="V103" s="104" t="n">
        <x:v>45.8</x:v>
      </x:c>
      <x:c r="W103" s="103" t="n">
        <x:v>0</x:v>
      </x:c>
      <x:c r="X103" s="105" t="str">
        <x:v>raised approximate per-asset strategy/risk utility by +45.8; projection +23.4 pts; forecast price change +0.3M; negative-P5 exposure -10.0; spent $17.8M more.</x:v>
      </x:c>
    </x:row>
    <x:row r="104" ht="44" customHeight="1">
      <x:c r="A104" s="101" t="str">
        <x:v>Balanced</x:v>
      </x:c>
      <x:c r="B104" s="101" t="str">
        <x:v>Minimal risk accepted</x:v>
      </x:c>
      <x:c r="C104" s="101" t="n">
        <x:v>11</x:v>
      </x:c>
      <x:c r="D104" s="101" t="str">
        <x:v>British Grand Prix</x:v>
      </x:c>
      <x:c r="E104" s="101" t="str">
        <x:v>genuine</x:v>
      </x:c>
      <x:c r="F104" s="101" t="str">
        <x:v>autopilot</x:v>
      </x:c>
      <x:c r="G104" s="101" t="str">
        <x:v>constructor</x:v>
      </x:c>
      <x:c r="H104" s="101" t="str">
        <x:v>mclaren</x:v>
      </x:c>
      <x:c r="I104" s="101" t="str">
        <x:v>racing_bulls</x:v>
      </x:c>
      <x:c r="J104" s="102" t="n">
        <x:v>30.1</x:v>
      </x:c>
      <x:c r="K104" s="102" t="n">
        <x:v>11.1</x:v>
      </x:c>
      <x:c r="L104" s="102" t="n">
        <x:v>-19</x:v>
      </x:c>
      <x:c r="M104" s="104" t="n">
        <x:v>45.8</x:v>
      </x:c>
      <x:c r="N104" s="104" t="n">
        <x:v>31</x:v>
      </x:c>
      <x:c r="O104" s="104" t="n">
        <x:v>-14.8</x:v>
      </x:c>
      <x:c r="P104" s="104" t="n">
        <x:v>0.3</x:v>
      </x:c>
      <x:c r="Q104" s="104" t="n">
        <x:v>0.6</x:v>
      </x:c>
      <x:c r="R104" s="104" t="n">
        <x:v>0.3</x:v>
      </x:c>
      <x:c r="S104" s="104" t="n">
        <x:v>5</x:v>
      </x:c>
      <x:c r="T104" s="104" t="n">
        <x:v>-2.2</x:v>
      </x:c>
      <x:c r="U104" s="104" t="n">
        <x:v>2.2</x:v>
      </x:c>
      <x:c r="V104" s="104" t="n">
        <x:v>-16.8</x:v>
      </x:c>
      <x:c r="W104" s="103" t="n">
        <x:v>0</x:v>
      </x:c>
      <x:c r="X104" s="105" t="str">
        <x:v>was -16.8 utility on this explanatory pairing but enabled the higher-utility seven-asset lineup; gave up 14.8 projected pts; forecast price change +0.3M; negative-P5 exposure +2.2; released $19.0M.</x:v>
      </x:c>
    </x:row>
    <x:row r="105" ht="44" customHeight="1">
      <x:c r="A105" s="101" t="str">
        <x:v>Balanced</x:v>
      </x:c>
      <x:c r="B105" s="101" t="str">
        <x:v>Minimal risk accepted</x:v>
      </x:c>
      <x:c r="C105" s="101" t="n">
        <x:v>12</x:v>
      </x:c>
      <x:c r="D105" s="101" t="str">
        <x:v>Belgian Grand Prix</x:v>
      </x:c>
      <x:c r="E105" s="101" t="str">
        <x:v>genuine</x:v>
      </x:c>
      <x:c r="F105" s="101" t="str">
        <x:v>wild card</x:v>
      </x:c>
      <x:c r="G105" s="101" t="str">
        <x:v>driver</x:v>
      </x:c>
      <x:c r="H105" s="101" t="str">
        <x:v>ANT</x:v>
      </x:c>
      <x:c r="I105" s="101" t="str">
        <x:v>HAD</x:v>
      </x:c>
      <x:c r="J105" s="102" t="n">
        <x:v>25.3</x:v>
      </x:c>
      <x:c r="K105" s="102" t="n">
        <x:v>13.3</x:v>
      </x:c>
      <x:c r="L105" s="102" t="n">
        <x:v>-12</x:v>
      </x:c>
      <x:c r="M105" s="104" t="n">
        <x:v>22.7</x:v>
      </x:c>
      <x:c r="N105" s="104" t="n">
        <x:v>33.3</x:v>
      </x:c>
      <x:c r="O105" s="104" t="n">
        <x:v>10.6</x:v>
      </x:c>
      <x:c r="P105" s="104" t="n">
        <x:v>0.1</x:v>
      </x:c>
      <x:c r="Q105" s="104" t="n">
        <x:v>0.6</x:v>
      </x:c>
      <x:c r="R105" s="104" t="n">
        <x:v>0.5</x:v>
      </x:c>
      <x:c r="S105" s="104" t="n">
        <x:v>-7.3</x:v>
      </x:c>
      <x:c r="T105" s="104" t="n">
        <x:v>-14.7</x:v>
      </x:c>
      <x:c r="U105" s="104" t="n">
        <x:v>7.4</x:v>
      </x:c>
      <x:c r="V105" s="104" t="n">
        <x:v>-0.2</x:v>
      </x:c>
      <x:c r="W105" s="103" t="n">
        <x:v>0</x:v>
      </x:c>
      <x:c r="X105" s="105" t="str">
        <x:v>Wild Card made the permanent rebuild free; Forecasted competitive-order change called for 4 lineup changes and a 27.6-utility improvement; this is the upgrade/order-shift proxy.; was -0.2 utility on this explanatory pairing but enabled the higher-utility seven-asset lineup; projection +10.6 pts; forecast price change +0.5M; negative-P5 exposure +7.4; released $12.0M; became the projected 2x captain.</x:v>
      </x:c>
    </x:row>
    <x:row r="106" ht="44" customHeight="1">
      <x:c r="A106" s="101" t="str">
        <x:v>Balanced</x:v>
      </x:c>
      <x:c r="B106" s="101" t="str">
        <x:v>Minimal risk accepted</x:v>
      </x:c>
      <x:c r="C106" s="101" t="n">
        <x:v>12</x:v>
      </x:c>
      <x:c r="D106" s="101" t="str">
        <x:v>Belgian Grand Prix</x:v>
      </x:c>
      <x:c r="E106" s="101" t="str">
        <x:v>genuine</x:v>
      </x:c>
      <x:c r="F106" s="101" t="str">
        <x:v>wild card</x:v>
      </x:c>
      <x:c r="G106" s="101" t="str">
        <x:v>driver</x:v>
      </x:c>
      <x:c r="H106" s="101" t="str">
        <x:v>BOR</x:v>
      </x:c>
      <x:c r="I106" s="101" t="str">
        <x:v>HUL</x:v>
      </x:c>
      <x:c r="J106" s="102" t="n">
        <x:v>6.6</x:v>
      </x:c>
      <x:c r="K106" s="102" t="n">
        <x:v>3</x:v>
      </x:c>
      <x:c r="L106" s="102" t="n">
        <x:v>-3.6</x:v>
      </x:c>
      <x:c r="M106" s="104" t="n">
        <x:v>1.9</x:v>
      </x:c>
      <x:c r="N106" s="104" t="n">
        <x:v>-2.7</x:v>
      </x:c>
      <x:c r="O106" s="104" t="n">
        <x:v>-4.6</x:v>
      </x:c>
      <x:c r="P106" s="104" t="n">
        <x:v>0.2</x:v>
      </x:c>
      <x:c r="Q106" s="104" t="n">
        <x:v>0</x:v>
      </x:c>
      <x:c r="R106" s="104" t="n">
        <x:v>-0.2</x:v>
      </x:c>
      <x:c r="S106" s="104" t="n">
        <x:v>-15</x:v>
      </x:c>
      <x:c r="T106" s="104" t="n">
        <x:v>-18.9</x:v>
      </x:c>
      <x:c r="U106" s="104" t="n">
        <x:v>3.9</x:v>
      </x:c>
      <x:c r="V106" s="104" t="n">
        <x:v>-14</x:v>
      </x:c>
      <x:c r="W106" s="103" t="n">
        <x:v>0</x:v>
      </x:c>
      <x:c r="X106" s="105" t="str">
        <x:v>Wild Card made the permanent rebuild free; Forecasted competitive-order change called for 4 lineup changes and a 27.6-utility improvement; this is the upgrade/order-shift proxy.; was -14.0 utility on this explanatory pairing but enabled the higher-utility seven-asset lineup; gave up 4.6 projected pts; forecast price change -0.2M; negative-P5 exposure +3.9; released $3.6M.</x:v>
      </x:c>
    </x:row>
    <x:row r="107" ht="44" customHeight="1">
      <x:c r="A107" s="101" t="str">
        <x:v>Balanced</x:v>
      </x:c>
      <x:c r="B107" s="101" t="str">
        <x:v>Minimal risk accepted</x:v>
      </x:c>
      <x:c r="C107" s="101" t="n">
        <x:v>12</x:v>
      </x:c>
      <x:c r="D107" s="101" t="str">
        <x:v>Belgian Grand Prix</x:v>
      </x:c>
      <x:c r="E107" s="101" t="str">
        <x:v>genuine</x:v>
      </x:c>
      <x:c r="F107" s="101" t="str">
        <x:v>wild card</x:v>
      </x:c>
      <x:c r="G107" s="101" t="str">
        <x:v>driver</x:v>
      </x:c>
      <x:c r="H107" s="101" t="str">
        <x:v>VER</x:v>
      </x:c>
      <x:c r="I107" s="101" t="str">
        <x:v>HAM</x:v>
      </x:c>
      <x:c r="J107" s="102" t="n">
        <x:v>27.8</x:v>
      </x:c>
      <x:c r="K107" s="102" t="n">
        <x:v>24.8</x:v>
      </x:c>
      <x:c r="L107" s="102" t="n">
        <x:v>-3</x:v>
      </x:c>
      <x:c r="M107" s="104" t="n">
        <x:v>24.3</x:v>
      </x:c>
      <x:c r="N107" s="104" t="n">
        <x:v>25.1</x:v>
      </x:c>
      <x:c r="O107" s="104" t="n">
        <x:v>0.8</x:v>
      </x:c>
      <x:c r="P107" s="104" t="n">
        <x:v>-0.1</x:v>
      </x:c>
      <x:c r="Q107" s="104" t="n">
        <x:v>0.1</x:v>
      </x:c>
      <x:c r="R107" s="104" t="n">
        <x:v>0.2</x:v>
      </x:c>
      <x:c r="S107" s="104" t="n">
        <x:v>-10.5</x:v>
      </x:c>
      <x:c r="T107" s="104" t="n">
        <x:v>-8.4</x:v>
      </x:c>
      <x:c r="U107" s="104" t="n">
        <x:v>-2.1</x:v>
      </x:c>
      <x:c r="V107" s="104" t="n">
        <x:v>6.6</x:v>
      </x:c>
      <x:c r="W107" s="103" t="n">
        <x:v>0</x:v>
      </x:c>
      <x:c r="X107" s="105" t="str">
        <x:v>Wild Card made the permanent rebuild free; Forecasted competitive-order change called for 4 lineup changes and a 27.6-utility improvement; this is the upgrade/order-shift proxy.; raised approximate per-asset strategy/risk utility by +6.6; projection +0.8 pts; forecast price change +0.2M; negative-P5 exposure -2.1; released $3.0M.</x:v>
      </x:c>
    </x:row>
    <x:row r="108" ht="44" customHeight="1">
      <x:c r="A108" s="101" t="str">
        <x:v>Balanced</x:v>
      </x:c>
      <x:c r="B108" s="101" t="str">
        <x:v>Minimal risk accepted</x:v>
      </x:c>
      <x:c r="C108" s="101" t="n">
        <x:v>12</x:v>
      </x:c>
      <x:c r="D108" s="101" t="str">
        <x:v>Belgian Grand Prix</x:v>
      </x:c>
      <x:c r="E108" s="101" t="str">
        <x:v>genuine</x:v>
      </x:c>
      <x:c r="F108" s="101" t="str">
        <x:v>wild card</x:v>
      </x:c>
      <x:c r="G108" s="101" t="str">
        <x:v>constructor</x:v>
      </x:c>
      <x:c r="H108" s="101" t="str">
        <x:v>racing_bulls</x:v>
      </x:c>
      <x:c r="I108" s="101" t="str">
        <x:v>red_bull</x:v>
      </x:c>
      <x:c r="J108" s="102" t="n">
        <x:v>11.7</x:v>
      </x:c>
      <x:c r="K108" s="102" t="n">
        <x:v>30.3</x:v>
      </x:c>
      <x:c r="L108" s="102" t="n">
        <x:v>18.6</x:v>
      </x:c>
      <x:c r="M108" s="104" t="n">
        <x:v>16.4</x:v>
      </x:c>
      <x:c r="N108" s="104" t="n">
        <x:v>68.4</x:v>
      </x:c>
      <x:c r="O108" s="104" t="n">
        <x:v>52</x:v>
      </x:c>
      <x:c r="P108" s="104" t="n">
        <x:v>0.6</x:v>
      </x:c>
      <x:c r="Q108" s="104" t="n">
        <x:v>0.3</x:v>
      </x:c>
      <x:c r="R108" s="104" t="n">
        <x:v>-0.3</x:v>
      </x:c>
      <x:c r="S108" s="104" t="n">
        <x:v>-6.4</x:v>
      </x:c>
      <x:c r="T108" s="104" t="n">
        <x:v>12.9</x:v>
      </x:c>
      <x:c r="U108" s="104" t="n">
        <x:v>-6.4</x:v>
      </x:c>
      <x:c r="V108" s="104" t="n">
        <x:v>62.4</x:v>
      </x:c>
      <x:c r="W108" s="103" t="n">
        <x:v>0</x:v>
      </x:c>
      <x:c r="X108" s="105" t="str">
        <x:v>Wild Card made the permanent rebuild free; Forecasted competitive-order change called for 4 lineup changes and a 27.6-utility improvement; this is the upgrade/order-shift proxy.; raised approximate per-asset strategy/risk utility by +62.4; projection +52.0 pts; forecast price change -0.3M; negative-P5 exposure -6.4; spent $18.6M more.</x:v>
      </x:c>
    </x:row>
    <x:row r="109" ht="44" customHeight="1">
      <x:c r="A109" s="101" t="str">
        <x:v>Balanced</x:v>
      </x:c>
      <x:c r="B109" s="101" t="str">
        <x:v>Minimal risk accepted</x:v>
      </x:c>
      <x:c r="C109" s="101" t="n">
        <x:v>13</x:v>
      </x:c>
      <x:c r="D109" s="101" t="str">
        <x:v>Hungarian Grand Prix</x:v>
      </x:c>
      <x:c r="E109" s="101" t="str">
        <x:v>genuine</x:v>
      </x:c>
      <x:c r="F109" s="101" t="str"/>
      <x:c r="G109" s="101" t="str">
        <x:v>driver</x:v>
      </x:c>
      <x:c r="H109" s="101" t="str">
        <x:v>COL</x:v>
      </x:c>
      <x:c r="I109" s="101" t="str">
        <x:v>LAW</x:v>
      </x:c>
      <x:c r="J109" s="102" t="n">
        <x:v>11</x:v>
      </x:c>
      <x:c r="K109" s="102" t="n">
        <x:v>9.7</x:v>
      </x:c>
      <x:c r="L109" s="102" t="n">
        <x:v>-1.3</x:v>
      </x:c>
      <x:c r="M109" s="104" t="n">
        <x:v>1.5</x:v>
      </x:c>
      <x:c r="N109" s="104" t="n">
        <x:v>3.7</x:v>
      </x:c>
      <x:c r="O109" s="104" t="n">
        <x:v>2.2</x:v>
      </x:c>
      <x:c r="P109" s="104" t="n">
        <x:v>0.2</x:v>
      </x:c>
      <x:c r="Q109" s="104" t="n">
        <x:v>0.2</x:v>
      </x:c>
      <x:c r="R109" s="104" t="n">
        <x:v>0</x:v>
      </x:c>
      <x:c r="S109" s="104" t="n">
        <x:v>-15</x:v>
      </x:c>
      <x:c r="T109" s="104" t="n">
        <x:v>-15.2</x:v>
      </x:c>
      <x:c r="U109" s="104" t="n">
        <x:v>0.2</x:v>
      </x:c>
      <x:c r="V109" s="104" t="n">
        <x:v>1.8</x:v>
      </x:c>
      <x:c r="W109" s="103" t="n">
        <x:v>0</x:v>
      </x:c>
      <x:c r="X109" s="105" t="str">
        <x:v>raised approximate per-asset strategy/risk utility by +1.8; projection +2.2 pts; negative-P5 exposure +0.2; released $1.3M.</x:v>
      </x:c>
    </x:row>
    <x:row r="110" ht="44" customHeight="1">
      <x:c r="A110" s="101" t="str">
        <x:v>Balanced</x:v>
      </x:c>
      <x:c r="B110" s="101" t="str">
        <x:v>Minimal risk accepted</x:v>
      </x:c>
      <x:c r="C110" s="101" t="n">
        <x:v>13</x:v>
      </x:c>
      <x:c r="D110" s="101" t="str">
        <x:v>Hungarian Grand Prix</x:v>
      </x:c>
      <x:c r="E110" s="101" t="str">
        <x:v>genuine</x:v>
      </x:c>
      <x:c r="F110" s="101" t="str"/>
      <x:c r="G110" s="101" t="str">
        <x:v>constructor</x:v>
      </x:c>
      <x:c r="H110" s="101" t="str">
        <x:v>red_bull</x:v>
      </x:c>
      <x:c r="I110" s="101" t="str">
        <x:v>mclaren</x:v>
      </x:c>
      <x:c r="J110" s="102" t="n">
        <x:v>30.6</x:v>
      </x:c>
      <x:c r="K110" s="102" t="n">
        <x:v>30.7</x:v>
      </x:c>
      <x:c r="L110" s="102" t="n">
        <x:v>0.1</x:v>
      </x:c>
      <x:c r="M110" s="104" t="n">
        <x:v>31.1</x:v>
      </x:c>
      <x:c r="N110" s="104" t="n">
        <x:v>51.8</x:v>
      </x:c>
      <x:c r="O110" s="104" t="n">
        <x:v>20.7</x:v>
      </x:c>
      <x:c r="P110" s="104" t="n">
        <x:v>0.3</x:v>
      </x:c>
      <x:c r="Q110" s="104" t="n">
        <x:v>0.3</x:v>
      </x:c>
      <x:c r="R110" s="104" t="n">
        <x:v>0</x:v>
      </x:c>
      <x:c r="S110" s="104" t="n">
        <x:v>2.5</x:v>
      </x:c>
      <x:c r="T110" s="104" t="n">
        <x:v>15.3</x:v>
      </x:c>
      <x:c r="U110" s="104" t="n">
        <x:v>0</x:v>
      </x:c>
      <x:c r="V110" s="104" t="n">
        <x:v>20.7</x:v>
      </x:c>
      <x:c r="W110" s="103" t="n">
        <x:v>0</x:v>
      </x:c>
      <x:c r="X110" s="105" t="str">
        <x:v>raised approximate per-asset strategy/risk utility by +20.7; projection +20.7 pts; spent $0.1M more.</x:v>
      </x:c>
    </x:row>
    <x:row r="111" ht="44" customHeight="1">
      <x:c r="A111" s="101" t="str">
        <x:v>Balanced</x:v>
      </x:c>
      <x:c r="B111" s="101" t="str">
        <x:v>Medium tolerance</x:v>
      </x:c>
      <x:c r="C111" s="101" t="n">
        <x:v>2</x:v>
      </x:c>
      <x:c r="D111" s="101" t="str">
        <x:v>Chinese Grand Prix</x:v>
      </x:c>
      <x:c r="E111" s="101" t="str">
        <x:v>reconstructed</x:v>
      </x:c>
      <x:c r="F111" s="101" t="str"/>
      <x:c r="G111" s="101" t="str">
        <x:v>driver</x:v>
      </x:c>
      <x:c r="H111" s="101" t="str">
        <x:v>LIN</x:v>
      </x:c>
      <x:c r="I111" s="101" t="str">
        <x:v>COL</x:v>
      </x:c>
      <x:c r="J111" s="102" t="n">
        <x:v>7.4</x:v>
      </x:c>
      <x:c r="K111" s="102" t="n">
        <x:v>7</x:v>
      </x:c>
      <x:c r="L111" s="102" t="n">
        <x:v>-0.4</x:v>
      </x:c>
      <x:c r="M111" s="104" t="n">
        <x:v>10.2</x:v>
      </x:c>
      <x:c r="N111" s="104" t="n">
        <x:v>15.8</x:v>
      </x:c>
      <x:c r="O111" s="104" t="n">
        <x:v>5.6</x:v>
      </x:c>
      <x:c r="P111" s="104" t="n">
        <x:v>0.6</x:v>
      </x:c>
      <x:c r="Q111" s="104" t="n">
        <x:v>0.6</x:v>
      </x:c>
      <x:c r="R111" s="104" t="n">
        <x:v>0</x:v>
      </x:c>
      <x:c r="S111" s="104" t="n">
        <x:v>-10</x:v>
      </x:c>
      <x:c r="T111" s="104" t="n">
        <x:v>-6</x:v>
      </x:c>
      <x:c r="U111" s="104" t="n">
        <x:v>-4</x:v>
      </x:c>
      <x:c r="V111" s="104" t="n">
        <x:v>8.6</x:v>
      </x:c>
      <x:c r="W111" s="103" t="n">
        <x:v>0</x:v>
      </x:c>
      <x:c r="X111" s="105" t="str">
        <x:v>raised approximate per-asset strategy/risk utility by +8.6; projection +5.6 pts; negative-P5 exposure -4.0; released $0.4M.</x:v>
      </x:c>
    </x:row>
    <x:row r="112" ht="44" customHeight="1">
      <x:c r="A112" s="101" t="str">
        <x:v>Balanced</x:v>
      </x:c>
      <x:c r="B112" s="101" t="str">
        <x:v>Medium tolerance</x:v>
      </x:c>
      <x:c r="C112" s="101" t="n">
        <x:v>2</x:v>
      </x:c>
      <x:c r="D112" s="101" t="str">
        <x:v>Chinese Grand Prix</x:v>
      </x:c>
      <x:c r="E112" s="101" t="str">
        <x:v>reconstructed</x:v>
      </x:c>
      <x:c r="F112" s="101" t="str"/>
      <x:c r="G112" s="101" t="str">
        <x:v>driver</x:v>
      </x:c>
      <x:c r="H112" s="101" t="str">
        <x:v>RUS</x:v>
      </x:c>
      <x:c r="I112" s="101" t="str">
        <x:v>ANT</x:v>
      </x:c>
      <x:c r="J112" s="102" t="n">
        <x:v>28</x:v>
      </x:c>
      <x:c r="K112" s="102" t="n">
        <x:v>23.8</x:v>
      </x:c>
      <x:c r="L112" s="102" t="n">
        <x:v>-4.2</x:v>
      </x:c>
      <x:c r="M112" s="104" t="n">
        <x:v>45.5</x:v>
      </x:c>
      <x:c r="N112" s="104" t="n">
        <x:v>48.2</x:v>
      </x:c>
      <x:c r="O112" s="104" t="n">
        <x:v>2.7</x:v>
      </x:c>
      <x:c r="P112" s="104" t="n">
        <x:v>0.3</x:v>
      </x:c>
      <x:c r="Q112" s="104" t="n">
        <x:v>0.3</x:v>
      </x:c>
      <x:c r="R112" s="104" t="n">
        <x:v>0</x:v>
      </x:c>
      <x:c r="S112" s="104" t="n">
        <x:v>19</x:v>
      </x:c>
      <x:c r="T112" s="104" t="n">
        <x:v>19</x:v>
      </x:c>
      <x:c r="U112" s="104" t="n">
        <x:v>0</x:v>
      </x:c>
      <x:c r="V112" s="104" t="n">
        <x:v>2.7</x:v>
      </x:c>
      <x:c r="W112" s="103" t="n">
        <x:v>0</x:v>
      </x:c>
      <x:c r="X112" s="105" t="str">
        <x:v>raised approximate per-asset strategy/risk utility by +2.7; projection +2.7 pts; released $4.2M; became the projected 2x captain.</x:v>
      </x:c>
    </x:row>
    <x:row r="113" ht="44" customHeight="1">
      <x:c r="A113" s="101" t="str">
        <x:v>Balanced</x:v>
      </x:c>
      <x:c r="B113" s="101" t="str">
        <x:v>Medium tolerance</x:v>
      </x:c>
      <x:c r="C113" s="101" t="n">
        <x:v>3</x:v>
      </x:c>
      <x:c r="D113" s="101" t="str">
        <x:v>Japanese Grand Prix</x:v>
      </x:c>
      <x:c r="E113" s="101" t="str">
        <x:v>reconstructed</x:v>
      </x:c>
      <x:c r="F113" s="101" t="str"/>
      <x:c r="G113" s="101" t="str">
        <x:v>driver</x:v>
      </x:c>
      <x:c r="H113" s="101" t="str">
        <x:v>ALB</x:v>
      </x:c>
      <x:c r="I113" s="101" t="str">
        <x:v>LIN</x:v>
      </x:c>
      <x:c r="J113" s="102" t="n">
        <x:v>10.8</x:v>
      </x:c>
      <x:c r="K113" s="102" t="n">
        <x:v>7.4</x:v>
      </x:c>
      <x:c r="L113" s="102" t="n">
        <x:v>-3.4</x:v>
      </x:c>
      <x:c r="M113" s="104" t="n">
        <x:v>2.6</x:v>
      </x:c>
      <x:c r="N113" s="104" t="n">
        <x:v>10.4</x:v>
      </x:c>
      <x:c r="O113" s="104" t="n">
        <x:v>7.8</x:v>
      </x:c>
      <x:c r="P113" s="104" t="n">
        <x:v>-0.6</x:v>
      </x:c>
      <x:c r="Q113" s="104" t="n">
        <x:v>0.6</x:v>
      </x:c>
      <x:c r="R113" s="104" t="n">
        <x:v>1.2</x:v>
      </x:c>
      <x:c r="S113" s="104" t="n">
        <x:v>-6</x:v>
      </x:c>
      <x:c r="T113" s="104" t="n">
        <x:v>-2</x:v>
      </x:c>
      <x:c r="U113" s="104" t="n">
        <x:v>-4</x:v>
      </x:c>
      <x:c r="V113" s="104" t="n">
        <x:v>20.4</x:v>
      </x:c>
      <x:c r="W113" s="103" t="n">
        <x:v>0</x:v>
      </x:c>
      <x:c r="X113" s="105" t="str">
        <x:v>raised approximate per-asset strategy/risk utility by +20.4; projection +7.8 pts; forecast price change +1.2M; negative-P5 exposure -4.0; released $3.4M.</x:v>
      </x:c>
    </x:row>
    <x:row r="114" ht="44" customHeight="1">
      <x:c r="A114" s="101" t="str">
        <x:v>Balanced</x:v>
      </x:c>
      <x:c r="B114" s="101" t="str">
        <x:v>Medium tolerance</x:v>
      </x:c>
      <x:c r="C114" s="101" t="n">
        <x:v>6</x:v>
      </x:c>
      <x:c r="D114" s="101" t="str">
        <x:v>Miami Grand Prix</x:v>
      </x:c>
      <x:c r="E114" s="101" t="str">
        <x:v>genuine</x:v>
      </x:c>
      <x:c r="F114" s="101" t="str"/>
      <x:c r="G114" s="101" t="str">
        <x:v>driver</x:v>
      </x:c>
      <x:c r="H114" s="101" t="str">
        <x:v>BOR</x:v>
      </x:c>
      <x:c r="I114" s="101" t="str">
        <x:v>LAW</x:v>
      </x:c>
      <x:c r="J114" s="102" t="n">
        <x:v>5.8</x:v>
      </x:c>
      <x:c r="K114" s="102" t="n">
        <x:v>7.5</x:v>
      </x:c>
      <x:c r="L114" s="102" t="n">
        <x:v>1.7</x:v>
      </x:c>
      <x:c r="M114" s="104" t="n">
        <x:v>13.5</x:v>
      </x:c>
      <x:c r="N114" s="104" t="n">
        <x:v>23.4</x:v>
      </x:c>
      <x:c r="O114" s="104" t="n">
        <x:v>9.9</x:v>
      </x:c>
      <x:c r="P114" s="104" t="n">
        <x:v>-0.6</x:v>
      </x:c>
      <x:c r="Q114" s="104" t="n">
        <x:v>0.6</x:v>
      </x:c>
      <x:c r="R114" s="104" t="n">
        <x:v>1.2</x:v>
      </x:c>
      <x:c r="S114" s="104" t="n">
        <x:v>-10</x:v>
      </x:c>
      <x:c r="T114" s="104" t="n">
        <x:v>1</x:v>
      </x:c>
      <x:c r="U114" s="104" t="n">
        <x:v>-10</x:v>
      </x:c>
      <x:c r="V114" s="104" t="n">
        <x:v>27</x:v>
      </x:c>
      <x:c r="W114" s="103" t="n">
        <x:v>10</x:v>
      </x:c>
      <x:c r="X114" s="105" t="str">
        <x:v>raised approximate per-asset strategy/risk utility by +27.0; projection +9.9 pts; forecast price change +1.2M; negative-P5 exposure -10.0; spent $1.7M more.</x:v>
      </x:c>
    </x:row>
    <x:row r="115" ht="44" customHeight="1">
      <x:c r="A115" s="101" t="str">
        <x:v>Balanced</x:v>
      </x:c>
      <x:c r="B115" s="101" t="str">
        <x:v>Medium tolerance</x:v>
      </x:c>
      <x:c r="C115" s="101" t="n">
        <x:v>6</x:v>
      </x:c>
      <x:c r="D115" s="101" t="str">
        <x:v>Miami Grand Prix</x:v>
      </x:c>
      <x:c r="E115" s="101" t="str">
        <x:v>genuine</x:v>
      </x:c>
      <x:c r="F115" s="101" t="str"/>
      <x:c r="G115" s="101" t="str">
        <x:v>constructor</x:v>
      </x:c>
      <x:c r="H115" s="101" t="str">
        <x:v>haas</x:v>
      </x:c>
      <x:c r="I115" s="101" t="str">
        <x:v>racing_bulls</x:v>
      </x:c>
      <x:c r="J115" s="102" t="n">
        <x:v>9.2</x:v>
      </x:c>
      <x:c r="K115" s="102" t="n">
        <x:v>8.1</x:v>
      </x:c>
      <x:c r="L115" s="102" t="n">
        <x:v>-1.1</x:v>
      </x:c>
      <x:c r="M115" s="104" t="n">
        <x:v>44.6</x:v>
      </x:c>
      <x:c r="N115" s="104" t="n">
        <x:v>56</x:v>
      </x:c>
      <x:c r="O115" s="104" t="n">
        <x:v>11.4</x:v>
      </x:c>
      <x:c r="P115" s="104" t="n">
        <x:v>0.6</x:v>
      </x:c>
      <x:c r="Q115" s="104" t="n">
        <x:v>0.6</x:v>
      </x:c>
      <x:c r="R115" s="104" t="n">
        <x:v>0</x:v>
      </x:c>
      <x:c r="S115" s="104" t="n">
        <x:v>5.5</x:v>
      </x:c>
      <x:c r="T115" s="104" t="n">
        <x:v>24.5</x:v>
      </x:c>
      <x:c r="U115" s="104" t="n">
        <x:v>0</x:v>
      </x:c>
      <x:c r="V115" s="104" t="n">
        <x:v>11.4</x:v>
      </x:c>
      <x:c r="W115" s="103" t="n">
        <x:v>10</x:v>
      </x:c>
      <x:c r="X115" s="105" t="str">
        <x:v>raised approximate per-asset strategy/risk utility by +11.4; projection +11.4 pts; released $1.1M.</x:v>
      </x:c>
    </x:row>
    <x:row r="116" ht="44" customHeight="1">
      <x:c r="A116" s="101" t="str">
        <x:v>Balanced</x:v>
      </x:c>
      <x:c r="B116" s="101" t="str">
        <x:v>Medium tolerance</x:v>
      </x:c>
      <x:c r="C116" s="101" t="n">
        <x:v>7</x:v>
      </x:c>
      <x:c r="D116" s="101" t="str">
        <x:v>Canadian Grand Prix</x:v>
      </x:c>
      <x:c r="E116" s="101" t="str">
        <x:v>genuine</x:v>
      </x:c>
      <x:c r="F116" s="101" t="str"/>
      <x:c r="G116" s="101" t="str">
        <x:v>driver</x:v>
      </x:c>
      <x:c r="H116" s="101" t="str">
        <x:v>LAW</x:v>
      </x:c>
      <x:c r="I116" s="101" t="str">
        <x:v>SAI</x:v>
      </x:c>
      <x:c r="J116" s="102" t="n">
        <x:v>8.1</x:v>
      </x:c>
      <x:c r="K116" s="102" t="n">
        <x:v>13</x:v>
      </x:c>
      <x:c r="L116" s="102" t="n">
        <x:v>4.9</x:v>
      </x:c>
      <x:c r="M116" s="104" t="n">
        <x:v>15.1</x:v>
      </x:c>
      <x:c r="N116" s="104" t="n">
        <x:v>15.2</x:v>
      </x:c>
      <x:c r="O116" s="104" t="n">
        <x:v>0.1</x:v>
      </x:c>
      <x:c r="P116" s="104" t="n">
        <x:v>-0.6</x:v>
      </x:c>
      <x:c r="Q116" s="104" t="n">
        <x:v>0.2</x:v>
      </x:c>
      <x:c r="R116" s="104" t="n">
        <x:v>0.8</x:v>
      </x:c>
      <x:c r="S116" s="104" t="n">
        <x:v>-16</x:v>
      </x:c>
      <x:c r="T116" s="104" t="n">
        <x:v>-2</x:v>
      </x:c>
      <x:c r="U116" s="104" t="n">
        <x:v>-14</x:v>
      </x:c>
      <x:c r="V116" s="104" t="n">
        <x:v>17</x:v>
      </x:c>
      <x:c r="W116" s="103" t="n">
        <x:v>0</x:v>
      </x:c>
      <x:c r="X116" s="105" t="str">
        <x:v>raised approximate per-asset strategy/risk utility by +17.0; projection +0.1 pts; forecast price change +0.8M; negative-P5 exposure -14.0; spent $4.9M more.</x:v>
      </x:c>
    </x:row>
    <x:row r="117" ht="44" customHeight="1">
      <x:c r="A117" s="101" t="str">
        <x:v>Balanced</x:v>
      </x:c>
      <x:c r="B117" s="101" t="str">
        <x:v>Medium tolerance</x:v>
      </x:c>
      <x:c r="C117" s="101" t="n">
        <x:v>9</x:v>
      </x:c>
      <x:c r="D117" s="101" t="str">
        <x:v>Spanish Grand Prix</x:v>
      </x:c>
      <x:c r="E117" s="101" t="str">
        <x:v>genuine</x:v>
      </x:c>
      <x:c r="F117" s="101" t="str"/>
      <x:c r="G117" s="101" t="str">
        <x:v>driver</x:v>
      </x:c>
      <x:c r="H117" s="101" t="str">
        <x:v>SAI</x:v>
      </x:c>
      <x:c r="I117" s="101" t="str">
        <x:v>HUL</x:v>
      </x:c>
      <x:c r="J117" s="102" t="n">
        <x:v>12.6</x:v>
      </x:c>
      <x:c r="K117" s="102" t="n">
        <x:v>3.2</x:v>
      </x:c>
      <x:c r="L117" s="102" t="n">
        <x:v>-9.4</x:v>
      </x:c>
      <x:c r="M117" s="104" t="n">
        <x:v>1.7</x:v>
      </x:c>
      <x:c r="N117" s="104" t="n">
        <x:v>3</x:v>
      </x:c>
      <x:c r="O117" s="104" t="n">
        <x:v>1.3</x:v>
      </x:c>
      <x:c r="P117" s="104" t="n">
        <x:v>-0.6</x:v>
      </x:c>
      <x:c r="Q117" s="104" t="n">
        <x:v>-0.2</x:v>
      </x:c>
      <x:c r="R117" s="104" t="n">
        <x:v>0.4</x:v>
      </x:c>
      <x:c r="S117" s="104" t="n">
        <x:v>-12</x:v>
      </x:c>
      <x:c r="T117" s="104" t="n">
        <x:v>-12</x:v>
      </x:c>
      <x:c r="U117" s="104" t="n">
        <x:v>0</x:v>
      </x:c>
      <x:c r="V117" s="104" t="n">
        <x:v>4.5</x:v>
      </x:c>
      <x:c r="W117" s="103" t="n">
        <x:v>0</x:v>
      </x:c>
      <x:c r="X117" s="105" t="str">
        <x:v>raised approximate per-asset strategy/risk utility by +4.5; projection +1.3 pts; forecast price change +0.4M; released $9.4M.</x:v>
      </x:c>
    </x:row>
    <x:row r="118" ht="44" customHeight="1">
      <x:c r="A118" s="101" t="str">
        <x:v>Balanced</x:v>
      </x:c>
      <x:c r="B118" s="101" t="str">
        <x:v>Medium tolerance</x:v>
      </x:c>
      <x:c r="C118" s="101" t="n">
        <x:v>9</x:v>
      </x:c>
      <x:c r="D118" s="101" t="str">
        <x:v>Spanish Grand Prix</x:v>
      </x:c>
      <x:c r="E118" s="101" t="str">
        <x:v>genuine</x:v>
      </x:c>
      <x:c r="F118" s="101" t="str"/>
      <x:c r="G118" s="101" t="str">
        <x:v>constructor</x:v>
      </x:c>
      <x:c r="H118" s="101" t="str">
        <x:v>racing_bulls</x:v>
      </x:c>
      <x:c r="I118" s="101" t="str">
        <x:v>ferrari</x:v>
      </x:c>
      <x:c r="J118" s="102" t="n">
        <x:v>9.9</x:v>
      </x:c>
      <x:c r="K118" s="102" t="n">
        <x:v>25.1</x:v>
      </x:c>
      <x:c r="L118" s="102" t="n">
        <x:v>15.2</x:v>
      </x:c>
      <x:c r="M118" s="104" t="n">
        <x:v>25.8</x:v>
      </x:c>
      <x:c r="N118" s="104" t="n">
        <x:v>67.9</x:v>
      </x:c>
      <x:c r="O118" s="104" t="n">
        <x:v>42.1</x:v>
      </x:c>
      <x:c r="P118" s="104" t="n">
        <x:v>0.6</x:v>
      </x:c>
      <x:c r="Q118" s="104" t="n">
        <x:v>0.3</x:v>
      </x:c>
      <x:c r="R118" s="104" t="n">
        <x:v>-0.3</x:v>
      </x:c>
      <x:c r="S118" s="104" t="n">
        <x:v>5.5</x:v>
      </x:c>
      <x:c r="T118" s="104" t="n">
        <x:v>31.5</x:v>
      </x:c>
      <x:c r="U118" s="104" t="n">
        <x:v>0</x:v>
      </x:c>
      <x:c r="V118" s="104" t="n">
        <x:v>39.7</x:v>
      </x:c>
      <x:c r="W118" s="103" t="n">
        <x:v>0</x:v>
      </x:c>
      <x:c r="X118" s="105" t="str">
        <x:v>raised approximate per-asset strategy/risk utility by +39.7; projection +42.1 pts; forecast price change -0.3M; spent $15.2M more.</x:v>
      </x:c>
    </x:row>
    <x:row r="119" ht="44" customHeight="1">
      <x:c r="A119" s="101" t="str">
        <x:v>Balanced</x:v>
      </x:c>
      <x:c r="B119" s="101" t="str">
        <x:v>Medium tolerance</x:v>
      </x:c>
      <x:c r="C119" s="101" t="n">
        <x:v>10</x:v>
      </x:c>
      <x:c r="D119" s="101" t="str">
        <x:v>Austrian Grand Prix</x:v>
      </x:c>
      <x:c r="E119" s="101" t="str">
        <x:v>genuine</x:v>
      </x:c>
      <x:c r="F119" s="101" t="str">
        <x:v>no negative</x:v>
      </x:c>
      <x:c r="G119" s="101" t="str">
        <x:v>driver</x:v>
      </x:c>
      <x:c r="H119" s="101" t="str">
        <x:v>ANT</x:v>
      </x:c>
      <x:c r="I119" s="101" t="str">
        <x:v>HAM</x:v>
      </x:c>
      <x:c r="J119" s="102" t="n">
        <x:v>25.3</x:v>
      </x:c>
      <x:c r="K119" s="102" t="n">
        <x:v>24.2</x:v>
      </x:c>
      <x:c r="L119" s="102" t="n">
        <x:v>-1.1</x:v>
      </x:c>
      <x:c r="M119" s="104" t="n">
        <x:v>27.7</x:v>
      </x:c>
      <x:c r="N119" s="104" t="n">
        <x:v>23.1</x:v>
      </x:c>
      <x:c r="O119" s="104" t="n">
        <x:v>-4.6</x:v>
      </x:c>
      <x:c r="P119" s="104" t="n">
        <x:v>0.1</x:v>
      </x:c>
      <x:c r="Q119" s="104" t="n">
        <x:v>0.3</x:v>
      </x:c>
      <x:c r="R119" s="104" t="n">
        <x:v>0.2</x:v>
      </x:c>
      <x:c r="S119" s="104" t="n">
        <x:v>-14.3</x:v>
      </x:c>
      <x:c r="T119" s="104" t="n">
        <x:v>11</x:v>
      </x:c>
      <x:c r="U119" s="104" t="n">
        <x:v>-14.3</x:v>
      </x:c>
      <x:c r="V119" s="104" t="n">
        <x:v>7.73</x:v>
      </x:c>
      <x:c r="W119" s="103" t="n">
        <x:v>0</x:v>
      </x:c>
      <x:c r="X119" s="105" t="str">
        <x:v>raised approximate per-asset strategy/risk utility by +7.7; gave up 4.6 projected pts; forecast price change +0.2M; negative-P5 exposure -14.3; released $1.1M; became the projected 2x captain.</x:v>
      </x:c>
    </x:row>
    <x:row r="120" ht="44" customHeight="1">
      <x:c r="A120" s="101" t="str">
        <x:v>Balanced</x:v>
      </x:c>
      <x:c r="B120" s="101" t="str">
        <x:v>Medium tolerance</x:v>
      </x:c>
      <x:c r="C120" s="101" t="n">
        <x:v>11</x:v>
      </x:c>
      <x:c r="D120" s="101" t="str">
        <x:v>British Grand Prix</x:v>
      </x:c>
      <x:c r="E120" s="101" t="str">
        <x:v>genuine</x:v>
      </x:c>
      <x:c r="F120" s="101" t="str">
        <x:v>autopilot</x:v>
      </x:c>
      <x:c r="G120" s="101" t="str">
        <x:v>driver</x:v>
      </x:c>
      <x:c r="H120" s="101" t="str">
        <x:v>HAM</x:v>
      </x:c>
      <x:c r="I120" s="101" t="str">
        <x:v>ANT</x:v>
      </x:c>
      <x:c r="J120" s="102" t="n">
        <x:v>24.5</x:v>
      </x:c>
      <x:c r="K120" s="102" t="n">
        <x:v>25.4</x:v>
      </x:c>
      <x:c r="L120" s="102" t="n">
        <x:v>0.9</x:v>
      </x:c>
      <x:c r="M120" s="104" t="n">
        <x:v>30.2</x:v>
      </x:c>
      <x:c r="N120" s="104" t="n">
        <x:v>31.2</x:v>
      </x:c>
      <x:c r="O120" s="104" t="n">
        <x:v>1</x:v>
      </x:c>
      <x:c r="P120" s="104" t="n">
        <x:v>0.3</x:v>
      </x:c>
      <x:c r="Q120" s="104" t="n">
        <x:v>-0.1</x:v>
      </x:c>
      <x:c r="R120" s="104" t="n">
        <x:v>-0.4</x:v>
      </x:c>
      <x:c r="S120" s="104" t="n">
        <x:v>-2</x:v>
      </x:c>
      <x:c r="T120" s="104" t="n">
        <x:v>0</x:v>
      </x:c>
      <x:c r="U120" s="104" t="n">
        <x:v>-2</x:v>
      </x:c>
      <x:c r="V120" s="104" t="n">
        <x:v>-0.7</x:v>
      </x:c>
      <x:c r="W120" s="103" t="n">
        <x:v>0</x:v>
      </x:c>
      <x:c r="X120" s="105" t="str">
        <x:v>was -0.7 utility on this explanatory pairing but enabled the higher-utility seven-asset lineup; projection +1.0 pts; forecast price change -0.4M; negative-P5 exposure -2.0; spent $0.9M more.</x:v>
      </x:c>
    </x:row>
    <x:row r="121" ht="44" customHeight="1">
      <x:c r="A121" s="101" t="str">
        <x:v>Balanced</x:v>
      </x:c>
      <x:c r="B121" s="101" t="str">
        <x:v>Medium tolerance</x:v>
      </x:c>
      <x:c r="C121" s="101" t="n">
        <x:v>12</x:v>
      </x:c>
      <x:c r="D121" s="101" t="str">
        <x:v>Belgian Grand Prix</x:v>
      </x:c>
      <x:c r="E121" s="101" t="str">
        <x:v>genuine</x:v>
      </x:c>
      <x:c r="F121" s="101" t="str">
        <x:v>wild card</x:v>
      </x:c>
      <x:c r="G121" s="101" t="str">
        <x:v>driver</x:v>
      </x:c>
      <x:c r="H121" s="101" t="str">
        <x:v>ANT</x:v>
      </x:c>
      <x:c r="I121" s="101" t="str">
        <x:v>NOR</x:v>
      </x:c>
      <x:c r="J121" s="102" t="n">
        <x:v>25.3</x:v>
      </x:c>
      <x:c r="K121" s="102" t="n">
        <x:v>25.7</x:v>
      </x:c>
      <x:c r="L121" s="102" t="n">
        <x:v>0.4</x:v>
      </x:c>
      <x:c r="M121" s="104" t="n">
        <x:v>22.7</x:v>
      </x:c>
      <x:c r="N121" s="104" t="n">
        <x:v>28.5</x:v>
      </x:c>
      <x:c r="O121" s="104" t="n">
        <x:v>5.8</x:v>
      </x:c>
      <x:c r="P121" s="104" t="n">
        <x:v>0.1</x:v>
      </x:c>
      <x:c r="Q121" s="104" t="n">
        <x:v>0.1</x:v>
      </x:c>
      <x:c r="R121" s="104" t="n">
        <x:v>0</x:v>
      </x:c>
      <x:c r="S121" s="104" t="n">
        <x:v>-7.3</x:v>
      </x:c>
      <x:c r="T121" s="104" t="n">
        <x:v>-12.9</x:v>
      </x:c>
      <x:c r="U121" s="104" t="n">
        <x:v>5.6</x:v>
      </x:c>
      <x:c r="V121" s="104" t="n">
        <x:v>1.6</x:v>
      </x:c>
      <x:c r="W121" s="103" t="n">
        <x:v>0</x:v>
      </x:c>
      <x:c r="X121" s="105" t="str">
        <x:v>Wild Card made the permanent rebuild free; Forecasted competitive-order change called for 4 lineup changes and a 20.9-utility improvement; this is the upgrade/order-shift proxy.; raised approximate per-asset strategy/risk utility by +1.6; projection +5.8 pts; negative-P5 exposure +5.6; spent $0.4M more.</x:v>
      </x:c>
    </x:row>
    <x:row r="122" ht="44" customHeight="1">
      <x:c r="A122" s="101" t="str">
        <x:v>Balanced</x:v>
      </x:c>
      <x:c r="B122" s="101" t="str">
        <x:v>Medium tolerance</x:v>
      </x:c>
      <x:c r="C122" s="101" t="n">
        <x:v>12</x:v>
      </x:c>
      <x:c r="D122" s="101" t="str">
        <x:v>Belgian Grand Prix</x:v>
      </x:c>
      <x:c r="E122" s="101" t="str">
        <x:v>genuine</x:v>
      </x:c>
      <x:c r="F122" s="101" t="str">
        <x:v>wild card</x:v>
      </x:c>
      <x:c r="G122" s="101" t="str">
        <x:v>driver</x:v>
      </x:c>
      <x:c r="H122" s="101" t="str">
        <x:v>COL</x:v>
      </x:c>
      <x:c r="I122" s="101" t="str">
        <x:v>HAD</x:v>
      </x:c>
      <x:c r="J122" s="102" t="n">
        <x:v>10.4</x:v>
      </x:c>
      <x:c r="K122" s="102" t="n">
        <x:v>13.3</x:v>
      </x:c>
      <x:c r="L122" s="102" t="n">
        <x:v>2.9</x:v>
      </x:c>
      <x:c r="M122" s="104" t="n">
        <x:v>2.7</x:v>
      </x:c>
      <x:c r="N122" s="104" t="n">
        <x:v>33.3</x:v>
      </x:c>
      <x:c r="O122" s="104" t="n">
        <x:v>30.6</x:v>
      </x:c>
      <x:c r="P122" s="104" t="n">
        <x:v>0.6</x:v>
      </x:c>
      <x:c r="Q122" s="104" t="n">
        <x:v>0.6</x:v>
      </x:c>
      <x:c r="R122" s="104" t="n">
        <x:v>0</x:v>
      </x:c>
      <x:c r="S122" s="104" t="n">
        <x:v>-14.7</x:v>
      </x:c>
      <x:c r="T122" s="104" t="n">
        <x:v>-14.7</x:v>
      </x:c>
      <x:c r="U122" s="104" t="n">
        <x:v>0</x:v>
      </x:c>
      <x:c r="V122" s="104" t="n">
        <x:v>30.6</x:v>
      </x:c>
      <x:c r="W122" s="103" t="n">
        <x:v>0</x:v>
      </x:c>
      <x:c r="X122" s="105" t="str">
        <x:v>Wild Card made the permanent rebuild free; Forecasted competitive-order change called for 4 lineup changes and a 20.9-utility improvement; this is the upgrade/order-shift proxy.; raised approximate per-asset strategy/risk utility by +30.6; projection +30.6 pts; spent $2.9M more; became the projected 2x captain.</x:v>
      </x:c>
    </x:row>
    <x:row r="123" ht="44" customHeight="1">
      <x:c r="A123" s="101" t="str">
        <x:v>Balanced</x:v>
      </x:c>
      <x:c r="B123" s="101" t="str">
        <x:v>Medium tolerance</x:v>
      </x:c>
      <x:c r="C123" s="101" t="n">
        <x:v>12</x:v>
      </x:c>
      <x:c r="D123" s="101" t="str">
        <x:v>Belgian Grand Prix</x:v>
      </x:c>
      <x:c r="E123" s="101" t="str">
        <x:v>genuine</x:v>
      </x:c>
      <x:c r="F123" s="101" t="str">
        <x:v>wild card</x:v>
      </x:c>
      <x:c r="G123" s="101" t="str">
        <x:v>driver</x:v>
      </x:c>
      <x:c r="H123" s="101" t="str">
        <x:v>OCO</x:v>
      </x:c>
      <x:c r="I123" s="101" t="str">
        <x:v>BOR</x:v>
      </x:c>
      <x:c r="J123" s="102" t="n">
        <x:v>10.3</x:v>
      </x:c>
      <x:c r="K123" s="102" t="n">
        <x:v>6.6</x:v>
      </x:c>
      <x:c r="L123" s="102" t="n">
        <x:v>-3.7</x:v>
      </x:c>
      <x:c r="M123" s="104" t="n">
        <x:v>3.2</x:v>
      </x:c>
      <x:c r="N123" s="104" t="n">
        <x:v>1.9</x:v>
      </x:c>
      <x:c r="O123" s="104" t="n">
        <x:v>-1.3</x:v>
      </x:c>
      <x:c r="P123" s="104" t="n">
        <x:v>0.2</x:v>
      </x:c>
      <x:c r="Q123" s="104" t="n">
        <x:v>0.2</x:v>
      </x:c>
      <x:c r="R123" s="104" t="n">
        <x:v>0</x:v>
      </x:c>
      <x:c r="S123" s="104" t="n">
        <x:v>-15.4</x:v>
      </x:c>
      <x:c r="T123" s="104" t="n">
        <x:v>-15</x:v>
      </x:c>
      <x:c r="U123" s="104" t="n">
        <x:v>-0.4</x:v>
      </x:c>
      <x:c r="V123" s="104" t="n">
        <x:v>-1</x:v>
      </x:c>
      <x:c r="W123" s="103" t="n">
        <x:v>0</x:v>
      </x:c>
      <x:c r="X123" s="105" t="str">
        <x:v>Wild Card made the permanent rebuild free; Forecasted competitive-order change called for 4 lineup changes and a 20.9-utility improvement; this is the upgrade/order-shift proxy.; was -1.0 utility on this explanatory pairing but enabled the higher-utility seven-asset lineup; gave up 1.3 projected pts; negative-P5 exposure -0.4; released $3.7M.</x:v>
      </x:c>
    </x:row>
    <x:row r="124" ht="44" customHeight="1">
      <x:c r="A124" s="101" t="str">
        <x:v>Balanced</x:v>
      </x:c>
      <x:c r="B124" s="101" t="str">
        <x:v>Medium tolerance</x:v>
      </x:c>
      <x:c r="C124" s="101" t="n">
        <x:v>12</x:v>
      </x:c>
      <x:c r="D124" s="101" t="str">
        <x:v>Belgian Grand Prix</x:v>
      </x:c>
      <x:c r="E124" s="101" t="str">
        <x:v>genuine</x:v>
      </x:c>
      <x:c r="F124" s="101" t="str">
        <x:v>wild card</x:v>
      </x:c>
      <x:c r="G124" s="101" t="str">
        <x:v>constructor</x:v>
      </x:c>
      <x:c r="H124" s="101" t="str">
        <x:v>mercedes</x:v>
      </x:c>
      <x:c r="I124" s="101" t="str">
        <x:v>red_bull</x:v>
      </x:c>
      <x:c r="J124" s="102" t="n">
        <x:v>32</x:v>
      </x:c>
      <x:c r="K124" s="102" t="n">
        <x:v>30.3</x:v>
      </x:c>
      <x:c r="L124" s="102" t="n">
        <x:v>-1.7</x:v>
      </x:c>
      <x:c r="M124" s="104" t="n">
        <x:v>59.1</x:v>
      </x:c>
      <x:c r="N124" s="104" t="n">
        <x:v>68.4</x:v>
      </x:c>
      <x:c r="O124" s="104" t="n">
        <x:v>9.3</x:v>
      </x:c>
      <x:c r="P124" s="104" t="n">
        <x:v>0.3</x:v>
      </x:c>
      <x:c r="Q124" s="104" t="n">
        <x:v>0.3</x:v>
      </x:c>
      <x:c r="R124" s="104" t="n">
        <x:v>0</x:v>
      </x:c>
      <x:c r="S124" s="104" t="n">
        <x:v>19.8</x:v>
      </x:c>
      <x:c r="T124" s="104" t="n">
        <x:v>12.9</x:v>
      </x:c>
      <x:c r="U124" s="104" t="n">
        <x:v>0</x:v>
      </x:c>
      <x:c r="V124" s="104" t="n">
        <x:v>9.3</x:v>
      </x:c>
      <x:c r="W124" s="103" t="n">
        <x:v>0</x:v>
      </x:c>
      <x:c r="X124" s="105" t="str">
        <x:v>Wild Card made the permanent rebuild free; Forecasted competitive-order change called for 4 lineup changes and a 20.9-utility improvement; this is the upgrade/order-shift proxy.; raised approximate per-asset strategy/risk utility by +9.3; projection +9.3 pts; released $1.7M.</x:v>
      </x:c>
    </x:row>
    <x:row r="125" ht="44" customHeight="1">
      <x:c r="A125" s="101" t="str">
        <x:v>Balanced</x:v>
      </x:c>
      <x:c r="B125" s="101" t="str">
        <x:v>Medium tolerance</x:v>
      </x:c>
      <x:c r="C125" s="101" t="n">
        <x:v>13</x:v>
      </x:c>
      <x:c r="D125" s="101" t="str">
        <x:v>Hungarian Grand Prix</x:v>
      </x:c>
      <x:c r="E125" s="101" t="str">
        <x:v>genuine</x:v>
      </x:c>
      <x:c r="F125" s="101" t="str"/>
      <x:c r="G125" s="101" t="str">
        <x:v>driver</x:v>
      </x:c>
      <x:c r="H125" s="101" t="str">
        <x:v>NOR</x:v>
      </x:c>
      <x:c r="I125" s="101" t="str">
        <x:v>HAM</x:v>
      </x:c>
      <x:c r="J125" s="102" t="n">
        <x:v>25.8</x:v>
      </x:c>
      <x:c r="K125" s="102" t="n">
        <x:v>24.9</x:v>
      </x:c>
      <x:c r="L125" s="102" t="n">
        <x:v>-0.9</x:v>
      </x:c>
      <x:c r="M125" s="104" t="n">
        <x:v>21.6</x:v>
      </x:c>
      <x:c r="N125" s="104" t="n">
        <x:v>28.5</x:v>
      </x:c>
      <x:c r="O125" s="104" t="n">
        <x:v>6.9</x:v>
      </x:c>
      <x:c r="P125" s="104" t="n">
        <x:v>0.3</x:v>
      </x:c>
      <x:c r="Q125" s="104" t="n">
        <x:v>0.1</x:v>
      </x:c>
      <x:c r="R125" s="104" t="n">
        <x:v>-0.2</x:v>
      </x:c>
      <x:c r="S125" s="104" t="n">
        <x:v>-10.7</x:v>
      </x:c>
      <x:c r="T125" s="104" t="n">
        <x:v>-6.1</x:v>
      </x:c>
      <x:c r="U125" s="104" t="n">
        <x:v>-4.6</x:v>
      </x:c>
      <x:c r="V125" s="104" t="n">
        <x:v>8.75</x:v>
      </x:c>
      <x:c r="W125" s="103" t="n">
        <x:v>0</x:v>
      </x:c>
      <x:c r="X125" s="105" t="str">
        <x:v>raised approximate per-asset strategy/risk utility by +8.8; projection +6.9 pts; forecast price change -0.2M; negative-P5 exposure -4.6; released $0.9M; became the projected 2x captain.</x:v>
      </x:c>
    </x:row>
    <x:row r="126" ht="44" customHeight="1">
      <x:c r="A126" s="101" t="str">
        <x:v>Balanced</x:v>
      </x:c>
      <x:c r="B126" s="101" t="str">
        <x:v>Medium tolerance</x:v>
      </x:c>
      <x:c r="C126" s="101" t="n">
        <x:v>13</x:v>
      </x:c>
      <x:c r="D126" s="101" t="str">
        <x:v>Hungarian Grand Prix</x:v>
      </x:c>
      <x:c r="E126" s="101" t="str">
        <x:v>genuine</x:v>
      </x:c>
      <x:c r="F126" s="101" t="str"/>
      <x:c r="G126" s="101" t="str">
        <x:v>constructor</x:v>
      </x:c>
      <x:c r="H126" s="101" t="str">
        <x:v>red_bull</x:v>
      </x:c>
      <x:c r="I126" s="101" t="str">
        <x:v>mclaren</x:v>
      </x:c>
      <x:c r="J126" s="102" t="n">
        <x:v>30.6</x:v>
      </x:c>
      <x:c r="K126" s="102" t="n">
        <x:v>30.7</x:v>
      </x:c>
      <x:c r="L126" s="102" t="n">
        <x:v>0.1</x:v>
      </x:c>
      <x:c r="M126" s="104" t="n">
        <x:v>31.1</x:v>
      </x:c>
      <x:c r="N126" s="104" t="n">
        <x:v>51.8</x:v>
      </x:c>
      <x:c r="O126" s="104" t="n">
        <x:v>20.7</x:v>
      </x:c>
      <x:c r="P126" s="104" t="n">
        <x:v>0.3</x:v>
      </x:c>
      <x:c r="Q126" s="104" t="n">
        <x:v>0.3</x:v>
      </x:c>
      <x:c r="R126" s="104" t="n">
        <x:v>0</x:v>
      </x:c>
      <x:c r="S126" s="104" t="n">
        <x:v>2.5</x:v>
      </x:c>
      <x:c r="T126" s="104" t="n">
        <x:v>15.3</x:v>
      </x:c>
      <x:c r="U126" s="104" t="n">
        <x:v>0</x:v>
      </x:c>
      <x:c r="V126" s="104" t="n">
        <x:v>20.7</x:v>
      </x:c>
      <x:c r="W126" s="103" t="n">
        <x:v>0</x:v>
      </x:c>
      <x:c r="X126" s="105" t="str">
        <x:v>raised approximate per-asset strategy/risk utility by +20.7; projection +20.7 pts; spent $0.1M more.</x:v>
      </x:c>
    </x:row>
    <x:row r="127" ht="44" customHeight="1">
      <x:c r="A127" s="101" t="str">
        <x:v>Balanced</x:v>
      </x:c>
      <x:c r="B127" s="101" t="str">
        <x:v>Maximum tolerance</x:v>
      </x:c>
      <x:c r="C127" s="101" t="n">
        <x:v>2</x:v>
      </x:c>
      <x:c r="D127" s="101" t="str">
        <x:v>Chinese Grand Prix</x:v>
      </x:c>
      <x:c r="E127" s="101" t="str">
        <x:v>reconstructed</x:v>
      </x:c>
      <x:c r="F127" s="101" t="str"/>
      <x:c r="G127" s="101" t="str">
        <x:v>driver</x:v>
      </x:c>
      <x:c r="H127" s="101" t="str">
        <x:v>HAD</x:v>
      </x:c>
      <x:c r="I127" s="101" t="str">
        <x:v>COL</x:v>
      </x:c>
      <x:c r="J127" s="102" t="n">
        <x:v>13.9</x:v>
      </x:c>
      <x:c r="K127" s="102" t="n">
        <x:v>7</x:v>
      </x:c>
      <x:c r="L127" s="102" t="n">
        <x:v>-6.9</x:v>
      </x:c>
      <x:c r="M127" s="104" t="n">
        <x:v>15.7</x:v>
      </x:c>
      <x:c r="N127" s="104" t="n">
        <x:v>15.8</x:v>
      </x:c>
      <x:c r="O127" s="104" t="n">
        <x:v>0.1</x:v>
      </x:c>
      <x:c r="P127" s="104" t="n">
        <x:v>-0.6</x:v>
      </x:c>
      <x:c r="Q127" s="104" t="n">
        <x:v>0.6</x:v>
      </x:c>
      <x:c r="R127" s="104" t="n">
        <x:v>1.2</x:v>
      </x:c>
      <x:c r="S127" s="104" t="n">
        <x:v>-16</x:v>
      </x:c>
      <x:c r="T127" s="104" t="n">
        <x:v>-6</x:v>
      </x:c>
      <x:c r="U127" s="104" t="n">
        <x:v>-10</x:v>
      </x:c>
      <x:c r="V127" s="104" t="n">
        <x:v>9.7</x:v>
      </x:c>
      <x:c r="W127" s="103" t="n">
        <x:v>0</x:v>
      </x:c>
      <x:c r="X127" s="105" t="str">
        <x:v>raised approximate per-asset strategy/risk utility by +9.7; projection +0.1 pts; forecast price change +1.2M; negative-P5 exposure -10.0; released $6.9M.</x:v>
      </x:c>
    </x:row>
    <x:row r="128" ht="44" customHeight="1">
      <x:c r="A128" s="101" t="str">
        <x:v>Balanced</x:v>
      </x:c>
      <x:c r="B128" s="101" t="str">
        <x:v>Maximum tolerance</x:v>
      </x:c>
      <x:c r="C128" s="101" t="n">
        <x:v>2</x:v>
      </x:c>
      <x:c r="D128" s="101" t="str">
        <x:v>Chinese Grand Prix</x:v>
      </x:c>
      <x:c r="E128" s="101" t="str">
        <x:v>reconstructed</x:v>
      </x:c>
      <x:c r="F128" s="101" t="str"/>
      <x:c r="G128" s="101" t="str">
        <x:v>driver</x:v>
      </x:c>
      <x:c r="H128" s="101" t="str">
        <x:v>RUS</x:v>
      </x:c>
      <x:c r="I128" s="101" t="str">
        <x:v>ANT</x:v>
      </x:c>
      <x:c r="J128" s="102" t="n">
        <x:v>28</x:v>
      </x:c>
      <x:c r="K128" s="102" t="n">
        <x:v>23.8</x:v>
      </x:c>
      <x:c r="L128" s="102" t="n">
        <x:v>-4.2</x:v>
      </x:c>
      <x:c r="M128" s="104" t="n">
        <x:v>45.5</x:v>
      </x:c>
      <x:c r="N128" s="104" t="n">
        <x:v>48.2</x:v>
      </x:c>
      <x:c r="O128" s="104" t="n">
        <x:v>2.7</x:v>
      </x:c>
      <x:c r="P128" s="104" t="n">
        <x:v>0.3</x:v>
      </x:c>
      <x:c r="Q128" s="104" t="n">
        <x:v>0.3</x:v>
      </x:c>
      <x:c r="R128" s="104" t="n">
        <x:v>0</x:v>
      </x:c>
      <x:c r="S128" s="104" t="n">
        <x:v>19</x:v>
      </x:c>
      <x:c r="T128" s="104" t="n">
        <x:v>19</x:v>
      </x:c>
      <x:c r="U128" s="104" t="n">
        <x:v>0</x:v>
      </x:c>
      <x:c r="V128" s="104" t="n">
        <x:v>2.7</x:v>
      </x:c>
      <x:c r="W128" s="103" t="n">
        <x:v>0</x:v>
      </x:c>
      <x:c r="X128" s="105" t="str">
        <x:v>raised approximate per-asset strategy/risk utility by +2.7; projection +2.7 pts; released $4.2M; became the projected 2x captain.</x:v>
      </x:c>
    </x:row>
    <x:row r="129" ht="44" customHeight="1">
      <x:c r="A129" s="101" t="str">
        <x:v>Balanced</x:v>
      </x:c>
      <x:c r="B129" s="101" t="str">
        <x:v>Maximum tolerance</x:v>
      </x:c>
      <x:c r="C129" s="101" t="n">
        <x:v>3</x:v>
      </x:c>
      <x:c r="D129" s="101" t="str">
        <x:v>Japanese Grand Prix</x:v>
      </x:c>
      <x:c r="E129" s="101" t="str">
        <x:v>reconstructed</x:v>
      </x:c>
      <x:c r="F129" s="101" t="str"/>
      <x:c r="G129" s="101" t="str">
        <x:v>constructor</x:v>
      </x:c>
      <x:c r="H129" s="101" t="str">
        <x:v>audi</x:v>
      </x:c>
      <x:c r="I129" s="101" t="str">
        <x:v>alpine</x:v>
      </x:c>
      <x:c r="J129" s="102" t="n">
        <x:v>5.4</x:v>
      </x:c>
      <x:c r="K129" s="102" t="n">
        <x:v>13.7</x:v>
      </x:c>
      <x:c r="L129" s="102" t="n">
        <x:v>8.3</x:v>
      </x:c>
      <x:c r="M129" s="104" t="n">
        <x:v>19.4</x:v>
      </x:c>
      <x:c r="N129" s="104" t="n">
        <x:v>28.2</x:v>
      </x:c>
      <x:c r="O129" s="104" t="n">
        <x:v>8.8</x:v>
      </x:c>
      <x:c r="P129" s="104" t="n">
        <x:v>0.2</x:v>
      </x:c>
      <x:c r="Q129" s="104" t="n">
        <x:v>0.6</x:v>
      </x:c>
      <x:c r="R129" s="104" t="n">
        <x:v>0.4</x:v>
      </x:c>
      <x:c r="S129" s="104" t="n">
        <x:v>-9.5</x:v>
      </x:c>
      <x:c r="T129" s="104" t="n">
        <x:v>-8.5</x:v>
      </x:c>
      <x:c r="U129" s="104" t="n">
        <x:v>-1</x:v>
      </x:c>
      <x:c r="V129" s="104" t="n">
        <x:v>12</x:v>
      </x:c>
      <x:c r="W129" s="103" t="n">
        <x:v>0</x:v>
      </x:c>
      <x:c r="X129" s="105" t="str">
        <x:v>raised approximate per-asset strategy/risk utility by +12.0; projection +8.8 pts; forecast price change +0.4M; negative-P5 exposure -1.0; spent $8.3M more.</x:v>
      </x:c>
    </x:row>
    <x:row r="130" ht="44" customHeight="1">
      <x:c r="A130" s="101" t="str">
        <x:v>Balanced</x:v>
      </x:c>
      <x:c r="B130" s="101" t="str">
        <x:v>Maximum tolerance</x:v>
      </x:c>
      <x:c r="C130" s="101" t="n">
        <x:v>6</x:v>
      </x:c>
      <x:c r="D130" s="101" t="str">
        <x:v>Miami Grand Prix</x:v>
      </x:c>
      <x:c r="E130" s="101" t="str">
        <x:v>genuine</x:v>
      </x:c>
      <x:c r="F130" s="101" t="str"/>
      <x:c r="G130" s="101" t="str">
        <x:v>driver</x:v>
      </x:c>
      <x:c r="H130" s="101" t="str">
        <x:v>BOR</x:v>
      </x:c>
      <x:c r="I130" s="101" t="str">
        <x:v>LAW</x:v>
      </x:c>
      <x:c r="J130" s="102" t="n">
        <x:v>5.8</x:v>
      </x:c>
      <x:c r="K130" s="102" t="n">
        <x:v>7.5</x:v>
      </x:c>
      <x:c r="L130" s="102" t="n">
        <x:v>1.7</x:v>
      </x:c>
      <x:c r="M130" s="104" t="n">
        <x:v>13.5</x:v>
      </x:c>
      <x:c r="N130" s="104" t="n">
        <x:v>23.4</x:v>
      </x:c>
      <x:c r="O130" s="104" t="n">
        <x:v>9.9</x:v>
      </x:c>
      <x:c r="P130" s="104" t="n">
        <x:v>-0.6</x:v>
      </x:c>
      <x:c r="Q130" s="104" t="n">
        <x:v>0.6</x:v>
      </x:c>
      <x:c r="R130" s="104" t="n">
        <x:v>1.2</x:v>
      </x:c>
      <x:c r="S130" s="104" t="n">
        <x:v>-10</x:v>
      </x:c>
      <x:c r="T130" s="104" t="n">
        <x:v>1</x:v>
      </x:c>
      <x:c r="U130" s="104" t="n">
        <x:v>-10</x:v>
      </x:c>
      <x:c r="V130" s="104" t="n">
        <x:v>19.5</x:v>
      </x:c>
      <x:c r="W130" s="103" t="n">
        <x:v>10</x:v>
      </x:c>
      <x:c r="X130" s="105" t="str">
        <x:v>raised approximate per-asset strategy/risk utility by +19.5; projection +9.9 pts; forecast price change +1.2M; negative-P5 exposure -10.0; spent $1.7M more.</x:v>
      </x:c>
    </x:row>
    <x:row r="131" ht="44" customHeight="1">
      <x:c r="A131" s="101" t="str">
        <x:v>Balanced</x:v>
      </x:c>
      <x:c r="B131" s="101" t="str">
        <x:v>Maximum tolerance</x:v>
      </x:c>
      <x:c r="C131" s="101" t="n">
        <x:v>6</x:v>
      </x:c>
      <x:c r="D131" s="101" t="str">
        <x:v>Miami Grand Prix</x:v>
      </x:c>
      <x:c r="E131" s="101" t="str">
        <x:v>genuine</x:v>
      </x:c>
      <x:c r="F131" s="101" t="str"/>
      <x:c r="G131" s="101" t="str">
        <x:v>constructor</x:v>
      </x:c>
      <x:c r="H131" s="101" t="str">
        <x:v>alpine</x:v>
      </x:c>
      <x:c r="I131" s="101" t="str">
        <x:v>racing_bulls</x:v>
      </x:c>
      <x:c r="J131" s="102" t="n">
        <x:v>14.3</x:v>
      </x:c>
      <x:c r="K131" s="102" t="n">
        <x:v>8.1</x:v>
      </x:c>
      <x:c r="L131" s="102" t="n">
        <x:v>-6.2</x:v>
      </x:c>
      <x:c r="M131" s="104" t="n">
        <x:v>44.2</x:v>
      </x:c>
      <x:c r="N131" s="104" t="n">
        <x:v>56</x:v>
      </x:c>
      <x:c r="O131" s="104" t="n">
        <x:v>11.8</x:v>
      </x:c>
      <x:c r="P131" s="104" t="n">
        <x:v>0.6</x:v>
      </x:c>
      <x:c r="Q131" s="104" t="n">
        <x:v>0.6</x:v>
      </x:c>
      <x:c r="R131" s="104" t="n">
        <x:v>0</x:v>
      </x:c>
      <x:c r="S131" s="104" t="n">
        <x:v>16.5</x:v>
      </x:c>
      <x:c r="T131" s="104" t="n">
        <x:v>24.5</x:v>
      </x:c>
      <x:c r="U131" s="104" t="n">
        <x:v>0</x:v>
      </x:c>
      <x:c r="V131" s="104" t="n">
        <x:v>11.8</x:v>
      </x:c>
      <x:c r="W131" s="103" t="n">
        <x:v>10</x:v>
      </x:c>
      <x:c r="X131" s="105" t="str">
        <x:v>raised approximate per-asset strategy/risk utility by +11.8; projection +11.8 pts; released $6.2M.</x:v>
      </x:c>
    </x:row>
    <x:row r="132" ht="44" customHeight="1">
      <x:c r="A132" s="101" t="str">
        <x:v>Balanced</x:v>
      </x:c>
      <x:c r="B132" s="101" t="str">
        <x:v>Maximum tolerance</x:v>
      </x:c>
      <x:c r="C132" s="101" t="n">
        <x:v>7</x:v>
      </x:c>
      <x:c r="D132" s="101" t="str">
        <x:v>Canadian Grand Prix</x:v>
      </x:c>
      <x:c r="E132" s="101" t="str">
        <x:v>genuine</x:v>
      </x:c>
      <x:c r="F132" s="101" t="str">
        <x:v>wild card</x:v>
      </x:c>
      <x:c r="G132" s="101" t="str">
        <x:v>driver</x:v>
      </x:c>
      <x:c r="H132" s="101" t="str">
        <x:v>LAW</x:v>
      </x:c>
      <x:c r="I132" s="101" t="str">
        <x:v>BOT</x:v>
      </x:c>
      <x:c r="J132" s="102" t="n">
        <x:v>8.1</x:v>
      </x:c>
      <x:c r="K132" s="102" t="n">
        <x:v>3.9</x:v>
      </x:c>
      <x:c r="L132" s="102" t="n">
        <x:v>-4.2</x:v>
      </x:c>
      <x:c r="M132" s="104" t="n">
        <x:v>15.1</x:v>
      </x:c>
      <x:c r="N132" s="104" t="n">
        <x:v>0.4</x:v>
      </x:c>
      <x:c r="O132" s="104" t="n">
        <x:v>-14.7</x:v>
      </x:c>
      <x:c r="P132" s="104" t="n">
        <x:v>-0.6</x:v>
      </x:c>
      <x:c r="Q132" s="104" t="n">
        <x:v>-0.6</x:v>
      </x:c>
      <x:c r="R132" s="104" t="n">
        <x:v>0</x:v>
      </x:c>
      <x:c r="S132" s="104" t="n">
        <x:v>-16</x:v>
      </x:c>
      <x:c r="T132" s="104" t="n">
        <x:v>-21</x:v>
      </x:c>
      <x:c r="U132" s="104" t="n">
        <x:v>5</x:v>
      </x:c>
      <x:c r="V132" s="104" t="n">
        <x:v>-14.7</x:v>
      </x:c>
      <x:c r="W132" s="103" t="n">
        <x:v>0</x:v>
      </x:c>
      <x:c r="X132" s="105" t="str">
        <x:v>Wild Card made the permanent rebuild free; Forecasted competitive-order change called for 4 lineup changes and a 19.0-utility improvement; this is the upgrade/order-shift proxy.; was -14.7 utility on this explanatory pairing but enabled the higher-utility seven-asset lineup; gave up 14.7 projected pts; negative-P5 exposure +5.0; released $4.2M.</x:v>
      </x:c>
    </x:row>
    <x:row r="133" ht="44" customHeight="1">
      <x:c r="A133" s="101" t="str">
        <x:v>Balanced</x:v>
      </x:c>
      <x:c r="B133" s="101" t="str">
        <x:v>Maximum tolerance</x:v>
      </x:c>
      <x:c r="C133" s="101" t="n">
        <x:v>7</x:v>
      </x:c>
      <x:c r="D133" s="101" t="str">
        <x:v>Canadian Grand Prix</x:v>
      </x:c>
      <x:c r="E133" s="101" t="str">
        <x:v>genuine</x:v>
      </x:c>
      <x:c r="F133" s="101" t="str">
        <x:v>wild card</x:v>
      </x:c>
      <x:c r="G133" s="101" t="str">
        <x:v>driver</x:v>
      </x:c>
      <x:c r="H133" s="101" t="str">
        <x:v>LIN</x:v>
      </x:c>
      <x:c r="I133" s="101" t="str">
        <x:v>BOR</x:v>
      </x:c>
      <x:c r="J133" s="102" t="n">
        <x:v>7</x:v>
      </x:c>
      <x:c r="K133" s="102" t="n">
        <x:v>5.2</x:v>
      </x:c>
      <x:c r="L133" s="102" t="n">
        <x:v>-1.8</x:v>
      </x:c>
      <x:c r="M133" s="104" t="n">
        <x:v>11.1</x:v>
      </x:c>
      <x:c r="N133" s="104" t="n">
        <x:v>6.9</x:v>
      </x:c>
      <x:c r="O133" s="104" t="n">
        <x:v>-4.2</x:v>
      </x:c>
      <x:c r="P133" s="104" t="n">
        <x:v>-0.6</x:v>
      </x:c>
      <x:c r="Q133" s="104" t="n">
        <x:v>0.2</x:v>
      </x:c>
      <x:c r="R133" s="104" t="n">
        <x:v>0.8</x:v>
      </x:c>
      <x:c r="S133" s="104" t="n">
        <x:v>-6</x:v>
      </x:c>
      <x:c r="T133" s="104" t="n">
        <x:v>-10</x:v>
      </x:c>
      <x:c r="U133" s="104" t="n">
        <x:v>4</x:v>
      </x:c>
      <x:c r="V133" s="104" t="n">
        <x:v>2.2</x:v>
      </x:c>
      <x:c r="W133" s="103" t="n">
        <x:v>0</x:v>
      </x:c>
      <x:c r="X133" s="105" t="str">
        <x:v>Wild Card made the permanent rebuild free; Forecasted competitive-order change called for 4 lineup changes and a 19.0-utility improvement; this is the upgrade/order-shift proxy.; raised approximate per-asset strategy/risk utility by +2.2; gave up 4.2 projected pts; forecast price change +0.8M; negative-P5 exposure +4.0; released $1.8M.</x:v>
      </x:c>
    </x:row>
    <x:row r="134" ht="44" customHeight="1">
      <x:c r="A134" s="101" t="str">
        <x:v>Balanced</x:v>
      </x:c>
      <x:c r="B134" s="101" t="str">
        <x:v>Maximum tolerance</x:v>
      </x:c>
      <x:c r="C134" s="101" t="n">
        <x:v>7</x:v>
      </x:c>
      <x:c r="D134" s="101" t="str">
        <x:v>Canadian Grand Prix</x:v>
      </x:c>
      <x:c r="E134" s="101" t="str">
        <x:v>genuine</x:v>
      </x:c>
      <x:c r="F134" s="101" t="str">
        <x:v>wild card</x:v>
      </x:c>
      <x:c r="G134" s="101" t="str">
        <x:v>driver</x:v>
      </x:c>
      <x:c r="H134" s="101" t="str">
        <x:v>OCO</x:v>
      </x:c>
      <x:c r="I134" s="101" t="str">
        <x:v>PER</x:v>
      </x:c>
      <x:c r="J134" s="102" t="n">
        <x:v>9.7</x:v>
      </x:c>
      <x:c r="K134" s="102" t="n">
        <x:v>7.6</x:v>
      </x:c>
      <x:c r="L134" s="102" t="n">
        <x:v>-2.1</x:v>
      </x:c>
      <x:c r="M134" s="104" t="n">
        <x:v>12</x:v>
      </x:c>
      <x:c r="N134" s="104" t="n">
        <x:v>12.5</x:v>
      </x:c>
      <x:c r="O134" s="104" t="n">
        <x:v>0.5</x:v>
      </x:c>
      <x:c r="P134" s="104" t="n">
        <x:v>0.6</x:v>
      </x:c>
      <x:c r="Q134" s="104" t="n">
        <x:v>0.6</x:v>
      </x:c>
      <x:c r="R134" s="104" t="n">
        <x:v>0</x:v>
      </x:c>
      <x:c r="S134" s="104" t="n">
        <x:v>-6</x:v>
      </x:c>
      <x:c r="T134" s="104" t="n">
        <x:v>-13</x:v>
      </x:c>
      <x:c r="U134" s="104" t="n">
        <x:v>7</x:v>
      </x:c>
      <x:c r="V134" s="104" t="n">
        <x:v>0.5</x:v>
      </x:c>
      <x:c r="W134" s="103" t="n">
        <x:v>0</x:v>
      </x:c>
      <x:c r="X134" s="105" t="str">
        <x:v>Wild Card made the permanent rebuild free; Forecasted competitive-order change called for 4 lineup changes and a 19.0-utility improvement; this is the upgrade/order-shift proxy.; raised approximate per-asset strategy/risk utility by +0.5; projection +0.5 pts; negative-P5 exposure +7.0; released $2.1M.</x:v>
      </x:c>
    </x:row>
    <x:row r="135" ht="44" customHeight="1">
      <x:c r="A135" s="101" t="str">
        <x:v>Balanced</x:v>
      </x:c>
      <x:c r="B135" s="101" t="str">
        <x:v>Maximum tolerance</x:v>
      </x:c>
      <x:c r="C135" s="101" t="n">
        <x:v>7</x:v>
      </x:c>
      <x:c r="D135" s="101" t="str">
        <x:v>Canadian Grand Prix</x:v>
      </x:c>
      <x:c r="E135" s="101" t="str">
        <x:v>genuine</x:v>
      </x:c>
      <x:c r="F135" s="101" t="str">
        <x:v>wild card</x:v>
      </x:c>
      <x:c r="G135" s="101" t="str">
        <x:v>constructor</x:v>
      </x:c>
      <x:c r="H135" s="101" t="str">
        <x:v>racing_bulls</x:v>
      </x:c>
      <x:c r="I135" s="101" t="str">
        <x:v>ferrari</x:v>
      </x:c>
      <x:c r="J135" s="102" t="n">
        <x:v>8.7</x:v>
      </x:c>
      <x:c r="K135" s="102" t="n">
        <x:v>24.5</x:v>
      </x:c>
      <x:c r="L135" s="102" t="n">
        <x:v>15.8</x:v>
      </x:c>
      <x:c r="M135" s="104" t="n">
        <x:v>40.4</x:v>
      </x:c>
      <x:c r="N135" s="104" t="n">
        <x:v>84.8</x:v>
      </x:c>
      <x:c r="O135" s="104" t="n">
        <x:v>44.4</x:v>
      </x:c>
      <x:c r="P135" s="104" t="n">
        <x:v>0.6</x:v>
      </x:c>
      <x:c r="Q135" s="104" t="n">
        <x:v>0.3</x:v>
      </x:c>
      <x:c r="R135" s="104" t="n">
        <x:v>-0.3</x:v>
      </x:c>
      <x:c r="S135" s="104" t="n">
        <x:v>1.5</x:v>
      </x:c>
      <x:c r="T135" s="104" t="n">
        <x:v>50.5</x:v>
      </x:c>
      <x:c r="U135" s="104" t="n">
        <x:v>0</x:v>
      </x:c>
      <x:c r="V135" s="104" t="n">
        <x:v>42</x:v>
      </x:c>
      <x:c r="W135" s="103" t="n">
        <x:v>0</x:v>
      </x:c>
      <x:c r="X135" s="105" t="str">
        <x:v>Wild Card made the permanent rebuild free; Forecasted competitive-order change called for 4 lineup changes and a 19.0-utility improvement; this is the upgrade/order-shift proxy.; raised approximate per-asset strategy/risk utility by +42.0; projection +44.4 pts; forecast price change -0.3M; spent $15.8M more.</x:v>
      </x:c>
    </x:row>
    <x:row r="136" ht="44" customHeight="1">
      <x:c r="A136" s="101" t="str">
        <x:v>Balanced</x:v>
      </x:c>
      <x:c r="B136" s="101" t="str">
        <x:v>Maximum tolerance</x:v>
      </x:c>
      <x:c r="C136" s="101" t="n">
        <x:v>9</x:v>
      </x:c>
      <x:c r="D136" s="101" t="str">
        <x:v>Spanish Grand Prix</x:v>
      </x:c>
      <x:c r="E136" s="101" t="str">
        <x:v>genuine</x:v>
      </x:c>
      <x:c r="F136" s="101" t="str"/>
      <x:c r="G136" s="101" t="str">
        <x:v>driver</x:v>
      </x:c>
      <x:c r="H136" s="101" t="str">
        <x:v>BOT</x:v>
      </x:c>
      <x:c r="I136" s="101" t="str">
        <x:v>HUL</x:v>
      </x:c>
      <x:c r="J136" s="102" t="n">
        <x:v>3.9</x:v>
      </x:c>
      <x:c r="K136" s="102" t="n">
        <x:v>3.2</x:v>
      </x:c>
      <x:c r="L136" s="102" t="n">
        <x:v>-0.7</x:v>
      </x:c>
      <x:c r="M136" s="104" t="n">
        <x:v>-1.2</x:v>
      </x:c>
      <x:c r="N136" s="104" t="n">
        <x:v>3</x:v>
      </x:c>
      <x:c r="O136" s="104" t="n">
        <x:v>4.2</x:v>
      </x:c>
      <x:c r="P136" s="104" t="n">
        <x:v>-0.6</x:v>
      </x:c>
      <x:c r="Q136" s="104" t="n">
        <x:v>-0.2</x:v>
      </x:c>
      <x:c r="R136" s="104" t="n">
        <x:v>0.4</x:v>
      </x:c>
      <x:c r="S136" s="104" t="n">
        <x:v>-12</x:v>
      </x:c>
      <x:c r="T136" s="104" t="n">
        <x:v>-12</x:v>
      </x:c>
      <x:c r="U136" s="104" t="n">
        <x:v>0</x:v>
      </x:c>
      <x:c r="V136" s="104" t="n">
        <x:v>7.4</x:v>
      </x:c>
      <x:c r="W136" s="103" t="n">
        <x:v>0</x:v>
      </x:c>
      <x:c r="X136" s="105" t="str">
        <x:v>raised approximate per-asset strategy/risk utility by +7.4; projection +4.2 pts; forecast price change +0.4M; released $0.7M.</x:v>
      </x:c>
    </x:row>
    <x:row r="137" ht="44" customHeight="1">
      <x:c r="A137" s="101" t="str">
        <x:v>Balanced</x:v>
      </x:c>
      <x:c r="B137" s="101" t="str">
        <x:v>Maximum tolerance</x:v>
      </x:c>
      <x:c r="C137" s="101" t="n">
        <x:v>9</x:v>
      </x:c>
      <x:c r="D137" s="101" t="str">
        <x:v>Spanish Grand Prix</x:v>
      </x:c>
      <x:c r="E137" s="101" t="str">
        <x:v>genuine</x:v>
      </x:c>
      <x:c r="F137" s="101" t="str"/>
      <x:c r="G137" s="101" t="str">
        <x:v>driver</x:v>
      </x:c>
      <x:c r="H137" s="101" t="str">
        <x:v>COL</x:v>
      </x:c>
      <x:c r="I137" s="101" t="str">
        <x:v>GAS</x:v>
      </x:c>
      <x:c r="J137" s="102" t="n">
        <x:v>9.4</x:v>
      </x:c>
      <x:c r="K137" s="102" t="n">
        <x:v>11.6</x:v>
      </x:c>
      <x:c r="L137" s="102" t="n">
        <x:v>2.2</x:v>
      </x:c>
      <x:c r="M137" s="104" t="n">
        <x:v>5.5</x:v>
      </x:c>
      <x:c r="N137" s="104" t="n">
        <x:v>8.4</x:v>
      </x:c>
      <x:c r="O137" s="104" t="n">
        <x:v>2.9</x:v>
      </x:c>
      <x:c r="P137" s="104" t="n">
        <x:v>0.2</x:v>
      </x:c>
      <x:c r="Q137" s="104" t="n">
        <x:v>0.6</x:v>
      </x:c>
      <x:c r="R137" s="104" t="n">
        <x:v>0.4</x:v>
      </x:c>
      <x:c r="S137" s="104" t="n">
        <x:v>-3</x:v>
      </x:c>
      <x:c r="T137" s="104" t="n">
        <x:v>-12</x:v>
      </x:c>
      <x:c r="U137" s="104" t="n">
        <x:v>9</x:v>
      </x:c>
      <x:c r="V137" s="104" t="n">
        <x:v>6.1</x:v>
      </x:c>
      <x:c r="W137" s="103" t="n">
        <x:v>0</x:v>
      </x:c>
      <x:c r="X137" s="105" t="str">
        <x:v>raised approximate per-asset strategy/risk utility by +6.1; projection +2.9 pts; forecast price change +0.4M; negative-P5 exposure +9.0; spent $2.2M more.</x:v>
      </x:c>
    </x:row>
    <x:row r="138" ht="44" customHeight="1">
      <x:c r="A138" s="101" t="str">
        <x:v>Balanced</x:v>
      </x:c>
      <x:c r="B138" s="101" t="str">
        <x:v>Maximum tolerance</x:v>
      </x:c>
      <x:c r="C138" s="101" t="n">
        <x:v>9</x:v>
      </x:c>
      <x:c r="D138" s="101" t="str">
        <x:v>Spanish Grand Prix</x:v>
      </x:c>
      <x:c r="E138" s="101" t="str">
        <x:v>genuine</x:v>
      </x:c>
      <x:c r="F138" s="101" t="str"/>
      <x:c r="G138" s="101" t="str">
        <x:v>driver</x:v>
      </x:c>
      <x:c r="H138" s="101" t="str">
        <x:v>PER</x:v>
      </x:c>
      <x:c r="I138" s="101" t="str">
        <x:v>LIN</x:v>
      </x:c>
      <x:c r="J138" s="102" t="n">
        <x:v>6.8</x:v>
      </x:c>
      <x:c r="K138" s="102" t="n">
        <x:v>5.8</x:v>
      </x:c>
      <x:c r="L138" s="102" t="n">
        <x:v>-1</x:v>
      </x:c>
      <x:c r="M138" s="104" t="n">
        <x:v>1.8</x:v>
      </x:c>
      <x:c r="N138" s="104" t="n">
        <x:v>6.6</x:v>
      </x:c>
      <x:c r="O138" s="104" t="n">
        <x:v>4.8</x:v>
      </x:c>
      <x:c r="P138" s="104" t="n">
        <x:v>-0.6</x:v>
      </x:c>
      <x:c r="Q138" s="104" t="n">
        <x:v>-0.6</x:v>
      </x:c>
      <x:c r="R138" s="104" t="n">
        <x:v>0</x:v>
      </x:c>
      <x:c r="S138" s="104" t="n">
        <x:v>-12</x:v>
      </x:c>
      <x:c r="T138" s="104" t="n">
        <x:v>-2</x:v>
      </x:c>
      <x:c r="U138" s="104" t="n">
        <x:v>-10</x:v>
      </x:c>
      <x:c r="V138" s="104" t="n">
        <x:v>4.8</x:v>
      </x:c>
      <x:c r="W138" s="103" t="n">
        <x:v>0</x:v>
      </x:c>
      <x:c r="X138" s="105" t="str">
        <x:v>raised approximate per-asset strategy/risk utility by +4.8; projection +4.8 pts; negative-P5 exposure -10.0; released $1.0M.</x:v>
      </x:c>
    </x:row>
    <x:row r="139" ht="44" customHeight="1">
      <x:c r="A139" s="101" t="str">
        <x:v>Balanced</x:v>
      </x:c>
      <x:c r="B139" s="101" t="str">
        <x:v>Maximum tolerance</x:v>
      </x:c>
      <x:c r="C139" s="101" t="n">
        <x:v>10</x:v>
      </x:c>
      <x:c r="D139" s="101" t="str">
        <x:v>Austrian Grand Prix</x:v>
      </x:c>
      <x:c r="E139" s="101" t="str">
        <x:v>genuine</x:v>
      </x:c>
      <x:c r="F139" s="101" t="str">
        <x:v>no negative</x:v>
      </x:c>
      <x:c r="G139" s="101" t="str">
        <x:v>driver</x:v>
      </x:c>
      <x:c r="H139" s="101" t="str">
        <x:v>GAS</x:v>
      </x:c>
      <x:c r="I139" s="101" t="str">
        <x:v>OCO</x:v>
      </x:c>
      <x:c r="J139" s="102" t="n">
        <x:v>12.2</x:v>
      </x:c>
      <x:c r="K139" s="102" t="n">
        <x:v>10.3</x:v>
      </x:c>
      <x:c r="L139" s="102" t="n">
        <x:v>-1.9</x:v>
      </x:c>
      <x:c r="M139" s="104" t="n">
        <x:v>1.9</x:v>
      </x:c>
      <x:c r="N139" s="104" t="n">
        <x:v>10.4</x:v>
      </x:c>
      <x:c r="O139" s="104" t="n">
        <x:v>8.5</x:v>
      </x:c>
      <x:c r="P139" s="104" t="n">
        <x:v>0.2</x:v>
      </x:c>
      <x:c r="Q139" s="104" t="n">
        <x:v>0.2</x:v>
      </x:c>
      <x:c r="R139" s="104" t="n">
        <x:v>0</x:v>
      </x:c>
      <x:c r="S139" s="104" t="n">
        <x:v>-22.5</x:v>
      </x:c>
      <x:c r="T139" s="104" t="n">
        <x:v>0</x:v>
      </x:c>
      <x:c r="U139" s="104" t="n">
        <x:v>-22.5</x:v>
      </x:c>
      <x:c r="V139" s="104" t="n">
        <x:v>8.5</x:v>
      </x:c>
      <x:c r="W139" s="103" t="n">
        <x:v>0</x:v>
      </x:c>
      <x:c r="X139" s="105" t="str">
        <x:v>raised approximate per-asset strategy/risk utility by +8.5; projection +8.5 pts; negative-P5 exposure -22.5; released $1.9M.</x:v>
      </x:c>
    </x:row>
    <x:row r="140" ht="44" customHeight="1">
      <x:c r="A140" s="101" t="str">
        <x:v>Balanced</x:v>
      </x:c>
      <x:c r="B140" s="101" t="str">
        <x:v>Maximum tolerance</x:v>
      </x:c>
      <x:c r="C140" s="101" t="n">
        <x:v>11</x:v>
      </x:c>
      <x:c r="D140" s="101" t="str">
        <x:v>British Grand Prix</x:v>
      </x:c>
      <x:c r="E140" s="101" t="str">
        <x:v>genuine</x:v>
      </x:c>
      <x:c r="F140" s="101" t="str"/>
      <x:c r="G140" s="101" t="str">
        <x:v>driver</x:v>
      </x:c>
      <x:c r="H140" s="101" t="str">
        <x:v>OCO</x:v>
      </x:c>
      <x:c r="I140" s="101" t="str">
        <x:v>COL</x:v>
      </x:c>
      <x:c r="J140" s="102" t="n">
        <x:v>10.1</x:v>
      </x:c>
      <x:c r="K140" s="102" t="n">
        <x:v>9.8</x:v>
      </x:c>
      <x:c r="L140" s="102" t="n">
        <x:v>-0.3</x:v>
      </x:c>
      <x:c r="M140" s="104" t="n">
        <x:v>11.3</x:v>
      </x:c>
      <x:c r="N140" s="104" t="n">
        <x:v>10.1</x:v>
      </x:c>
      <x:c r="O140" s="104" t="n">
        <x:v>-1.2</x:v>
      </x:c>
      <x:c r="P140" s="104" t="n">
        <x:v>-0.2</x:v>
      </x:c>
      <x:c r="Q140" s="104" t="n">
        <x:v>0.2</x:v>
      </x:c>
      <x:c r="R140" s="104" t="n">
        <x:v>0.4</x:v>
      </x:c>
      <x:c r="S140" s="104" t="n">
        <x:v>-10</x:v>
      </x:c>
      <x:c r="T140" s="104" t="n">
        <x:v>-10.7</x:v>
      </x:c>
      <x:c r="U140" s="104" t="n">
        <x:v>0.7</x:v>
      </x:c>
      <x:c r="V140" s="104" t="n">
        <x:v>2</x:v>
      </x:c>
      <x:c r="W140" s="103" t="n">
        <x:v>0</x:v>
      </x:c>
      <x:c r="X140" s="105" t="str">
        <x:v>raised approximate per-asset strategy/risk utility by +2.0; gave up 1.2 projected pts; forecast price change +0.4M; negative-P5 exposure +0.7; released $0.3M.</x:v>
      </x:c>
    </x:row>
    <x:row r="141" ht="44" customHeight="1">
      <x:c r="A141" s="101" t="str">
        <x:v>Balanced</x:v>
      </x:c>
      <x:c r="B141" s="101" t="str">
        <x:v>Maximum tolerance</x:v>
      </x:c>
      <x:c r="C141" s="101" t="n">
        <x:v>12</x:v>
      </x:c>
      <x:c r="D141" s="101" t="str">
        <x:v>Belgian Grand Prix</x:v>
      </x:c>
      <x:c r="E141" s="101" t="str">
        <x:v>genuine</x:v>
      </x:c>
      <x:c r="F141" s="101" t="str">
        <x:v>autopilot</x:v>
      </x:c>
      <x:c r="G141" s="101" t="str">
        <x:v>driver</x:v>
      </x:c>
      <x:c r="H141" s="101" t="str">
        <x:v>COL</x:v>
      </x:c>
      <x:c r="I141" s="101" t="str">
        <x:v>HAD</x:v>
      </x:c>
      <x:c r="J141" s="102" t="n">
        <x:v>10.4</x:v>
      </x:c>
      <x:c r="K141" s="102" t="n">
        <x:v>13.3</x:v>
      </x:c>
      <x:c r="L141" s="102" t="n">
        <x:v>2.9</x:v>
      </x:c>
      <x:c r="M141" s="104" t="n">
        <x:v>2.7</x:v>
      </x:c>
      <x:c r="N141" s="104" t="n">
        <x:v>33.3</x:v>
      </x:c>
      <x:c r="O141" s="104" t="n">
        <x:v>30.6</x:v>
      </x:c>
      <x:c r="P141" s="104" t="n">
        <x:v>0.6</x:v>
      </x:c>
      <x:c r="Q141" s="104" t="n">
        <x:v>0.6</x:v>
      </x:c>
      <x:c r="R141" s="104" t="n">
        <x:v>0</x:v>
      </x:c>
      <x:c r="S141" s="104" t="n">
        <x:v>-14.7</x:v>
      </x:c>
      <x:c r="T141" s="104" t="n">
        <x:v>-14.7</x:v>
      </x:c>
      <x:c r="U141" s="104" t="n">
        <x:v>0</x:v>
      </x:c>
      <x:c r="V141" s="104" t="n">
        <x:v>30.6</x:v>
      </x:c>
      <x:c r="W141" s="103" t="n">
        <x:v>10</x:v>
      </x:c>
      <x:c r="X141" s="105" t="str">
        <x:v>raised approximate per-asset strategy/risk utility by +30.6; projection +30.6 pts; spent $2.9M more.</x:v>
      </x:c>
    </x:row>
    <x:row r="142" ht="44" customHeight="1">
      <x:c r="A142" s="101" t="str">
        <x:v>Balanced</x:v>
      </x:c>
      <x:c r="B142" s="101" t="str">
        <x:v>Maximum tolerance</x:v>
      </x:c>
      <x:c r="C142" s="101" t="n">
        <x:v>12</x:v>
      </x:c>
      <x:c r="D142" s="101" t="str">
        <x:v>Belgian Grand Prix</x:v>
      </x:c>
      <x:c r="E142" s="101" t="str">
        <x:v>genuine</x:v>
      </x:c>
      <x:c r="F142" s="101" t="str">
        <x:v>autopilot</x:v>
      </x:c>
      <x:c r="G142" s="101" t="str">
        <x:v>constructor</x:v>
      </x:c>
      <x:c r="H142" s="101" t="str">
        <x:v>mercedes</x:v>
      </x:c>
      <x:c r="I142" s="101" t="str">
        <x:v>red_bull</x:v>
      </x:c>
      <x:c r="J142" s="102" t="n">
        <x:v>32</x:v>
      </x:c>
      <x:c r="K142" s="102" t="n">
        <x:v>30.3</x:v>
      </x:c>
      <x:c r="L142" s="102" t="n">
        <x:v>-1.7</x:v>
      </x:c>
      <x:c r="M142" s="104" t="n">
        <x:v>59.1</x:v>
      </x:c>
      <x:c r="N142" s="104" t="n">
        <x:v>68.4</x:v>
      </x:c>
      <x:c r="O142" s="104" t="n">
        <x:v>9.3</x:v>
      </x:c>
      <x:c r="P142" s="104" t="n">
        <x:v>0.3</x:v>
      </x:c>
      <x:c r="Q142" s="104" t="n">
        <x:v>0.3</x:v>
      </x:c>
      <x:c r="R142" s="104" t="n">
        <x:v>0</x:v>
      </x:c>
      <x:c r="S142" s="104" t="n">
        <x:v>19.8</x:v>
      </x:c>
      <x:c r="T142" s="104" t="n">
        <x:v>12.9</x:v>
      </x:c>
      <x:c r="U142" s="104" t="n">
        <x:v>0</x:v>
      </x:c>
      <x:c r="V142" s="104" t="n">
        <x:v>9.3</x:v>
      </x:c>
      <x:c r="W142" s="103" t="n">
        <x:v>10</x:v>
      </x:c>
      <x:c r="X142" s="105" t="str">
        <x:v>raised approximate per-asset strategy/risk utility by +9.3; projection +9.3 pts; released $1.7M.</x:v>
      </x:c>
    </x:row>
    <x:row r="143" ht="44" customHeight="1">
      <x:c r="A143" s="101" t="str">
        <x:v>Balanced</x:v>
      </x:c>
      <x:c r="B143" s="101" t="str">
        <x:v>Maximum tolerance</x:v>
      </x:c>
      <x:c r="C143" s="101" t="n">
        <x:v>13</x:v>
      </x:c>
      <x:c r="D143" s="101" t="str">
        <x:v>Hungarian Grand Prix</x:v>
      </x:c>
      <x:c r="E143" s="101" t="str">
        <x:v>genuine</x:v>
      </x:c>
      <x:c r="F143" s="101" t="str"/>
      <x:c r="G143" s="101" t="str">
        <x:v>driver</x:v>
      </x:c>
      <x:c r="H143" s="101" t="str">
        <x:v>ANT</x:v>
      </x:c>
      <x:c r="I143" s="101" t="str">
        <x:v>HAM</x:v>
      </x:c>
      <x:c r="J143" s="102" t="n">
        <x:v>25.6</x:v>
      </x:c>
      <x:c r="K143" s="102" t="n">
        <x:v>24.9</x:v>
      </x:c>
      <x:c r="L143" s="102" t="n">
        <x:v>-0.7</x:v>
      </x:c>
      <x:c r="M143" s="104" t="n">
        <x:v>20.7</x:v>
      </x:c>
      <x:c r="N143" s="104" t="n">
        <x:v>28.5</x:v>
      </x:c>
      <x:c r="O143" s="104" t="n">
        <x:v>7.8</x:v>
      </x:c>
      <x:c r="P143" s="104" t="n">
        <x:v>0.1</x:v>
      </x:c>
      <x:c r="Q143" s="104" t="n">
        <x:v>0.1</x:v>
      </x:c>
      <x:c r="R143" s="104" t="n">
        <x:v>0</x:v>
      </x:c>
      <x:c r="S143" s="104" t="n">
        <x:v>-8.5</x:v>
      </x:c>
      <x:c r="T143" s="104" t="n">
        <x:v>-6.1</x:v>
      </x:c>
      <x:c r="U143" s="104" t="n">
        <x:v>-2.4</x:v>
      </x:c>
      <x:c r="V143" s="104" t="n">
        <x:v>7.8</x:v>
      </x:c>
      <x:c r="W143" s="103" t="n">
        <x:v>10</x:v>
      </x:c>
      <x:c r="X143" s="105" t="str">
        <x:v>raised approximate per-asset strategy/risk utility by +7.8; projection +7.8 pts; negative-P5 exposure -2.4; released $0.7M; became the projected 2x captain.</x:v>
      </x:c>
    </x:row>
    <x:row r="144" ht="44" customHeight="1">
      <x:c r="A144" s="101" t="str">
        <x:v>Balanced</x:v>
      </x:c>
      <x:c r="B144" s="101" t="str">
        <x:v>Maximum tolerance</x:v>
      </x:c>
      <x:c r="C144" s="101" t="n">
        <x:v>13</x:v>
      </x:c>
      <x:c r="D144" s="101" t="str">
        <x:v>Hungarian Grand Prix</x:v>
      </x:c>
      <x:c r="E144" s="101" t="str">
        <x:v>genuine</x:v>
      </x:c>
      <x:c r="F144" s="101" t="str"/>
      <x:c r="G144" s="101" t="str">
        <x:v>constructor</x:v>
      </x:c>
      <x:c r="H144" s="101" t="str">
        <x:v>red_bull</x:v>
      </x:c>
      <x:c r="I144" s="101" t="str">
        <x:v>mclaren</x:v>
      </x:c>
      <x:c r="J144" s="102" t="n">
        <x:v>30.6</x:v>
      </x:c>
      <x:c r="K144" s="102" t="n">
        <x:v>30.7</x:v>
      </x:c>
      <x:c r="L144" s="102" t="n">
        <x:v>0.1</x:v>
      </x:c>
      <x:c r="M144" s="104" t="n">
        <x:v>31.1</x:v>
      </x:c>
      <x:c r="N144" s="104" t="n">
        <x:v>51.8</x:v>
      </x:c>
      <x:c r="O144" s="104" t="n">
        <x:v>20.7</x:v>
      </x:c>
      <x:c r="P144" s="104" t="n">
        <x:v>0.3</x:v>
      </x:c>
      <x:c r="Q144" s="104" t="n">
        <x:v>0.3</x:v>
      </x:c>
      <x:c r="R144" s="104" t="n">
        <x:v>0</x:v>
      </x:c>
      <x:c r="S144" s="104" t="n">
        <x:v>2.5</x:v>
      </x:c>
      <x:c r="T144" s="104" t="n">
        <x:v>15.3</x:v>
      </x:c>
      <x:c r="U144" s="104" t="n">
        <x:v>0</x:v>
      </x:c>
      <x:c r="V144" s="104" t="n">
        <x:v>20.7</x:v>
      </x:c>
      <x:c r="W144" s="103" t="n">
        <x:v>10</x:v>
      </x:c>
      <x:c r="X144" s="105" t="str">
        <x:v>raised approximate per-asset strategy/risk utility by +20.7; projection +20.7 pts; spent $0.1M more.</x:v>
      </x:c>
    </x:row>
    <x:row r="145" ht="44" customHeight="1">
      <x:c r="A145" s="101" t="str">
        <x:v>Budget Builder</x:v>
      </x:c>
      <x:c r="B145" s="101" t="str">
        <x:v>Total avoidance</x:v>
      </x:c>
      <x:c r="C145" s="101" t="n">
        <x:v>2</x:v>
      </x:c>
      <x:c r="D145" s="101" t="str">
        <x:v>Chinese Grand Prix</x:v>
      </x:c>
      <x:c r="E145" s="101" t="str">
        <x:v>reconstructed</x:v>
      </x:c>
      <x:c r="F145" s="101" t="str"/>
      <x:c r="G145" s="101" t="str">
        <x:v>driver</x:v>
      </x:c>
      <x:c r="H145" s="101" t="str">
        <x:v>BOR</x:v>
      </x:c>
      <x:c r="I145" s="101" t="str">
        <x:v>HAM</x:v>
      </x:c>
      <x:c r="J145" s="102" t="n">
        <x:v>6.4</x:v>
      </x:c>
      <x:c r="K145" s="102" t="n">
        <x:v>22.9</x:v>
      </x:c>
      <x:c r="L145" s="102" t="n">
        <x:v>16.5</x:v>
      </x:c>
      <x:c r="M145" s="104" t="n">
        <x:v>12.1</x:v>
      </x:c>
      <x:c r="N145" s="104" t="n">
        <x:v>25</x:v>
      </x:c>
      <x:c r="O145" s="104" t="n">
        <x:v>12.9</x:v>
      </x:c>
      <x:c r="P145" s="104" t="n">
        <x:v>0.6</x:v>
      </x:c>
      <x:c r="Q145" s="104" t="n">
        <x:v>0.1</x:v>
      </x:c>
      <x:c r="R145" s="104" t="n">
        <x:v>-0.5</x:v>
      </x:c>
      <x:c r="S145" s="104" t="n">
        <x:v>-9</x:v>
      </x:c>
      <x:c r="T145" s="104" t="n">
        <x:v>3</x:v>
      </x:c>
      <x:c r="U145" s="104" t="n">
        <x:v>-9</x:v>
      </x:c>
      <x:c r="V145" s="104"/>
      <x:c r="W145" s="103" t="n">
        <x:v>10</x:v>
      </x:c>
      <x:c r="X145" s="105" t="str">
        <x:v>cut negative-P5 exposure by 9.0, the profile's first priority; projection +12.9 pts; forecast price change -0.5M; negative-P5 exposure -9.0; spent $16.5M more.</x:v>
      </x:c>
    </x:row>
    <x:row r="146" ht="44" customHeight="1">
      <x:c r="A146" s="101" t="str">
        <x:v>Budget Builder</x:v>
      </x:c>
      <x:c r="B146" s="101" t="str">
        <x:v>Total avoidance</x:v>
      </x:c>
      <x:c r="C146" s="101" t="n">
        <x:v>2</x:v>
      </x:c>
      <x:c r="D146" s="101" t="str">
        <x:v>Chinese Grand Prix</x:v>
      </x:c>
      <x:c r="E146" s="101" t="str">
        <x:v>reconstructed</x:v>
      </x:c>
      <x:c r="F146" s="101" t="str"/>
      <x:c r="G146" s="101" t="str">
        <x:v>driver</x:v>
      </x:c>
      <x:c r="H146" s="101" t="str">
        <x:v>RUS</x:v>
      </x:c>
      <x:c r="I146" s="101" t="str">
        <x:v>ANT</x:v>
      </x:c>
      <x:c r="J146" s="102" t="n">
        <x:v>28</x:v>
      </x:c>
      <x:c r="K146" s="102" t="n">
        <x:v>23.8</x:v>
      </x:c>
      <x:c r="L146" s="102" t="n">
        <x:v>-4.2</x:v>
      </x:c>
      <x:c r="M146" s="104" t="n">
        <x:v>45.5</x:v>
      </x:c>
      <x:c r="N146" s="104" t="n">
        <x:v>48.2</x:v>
      </x:c>
      <x:c r="O146" s="104" t="n">
        <x:v>2.7</x:v>
      </x:c>
      <x:c r="P146" s="104" t="n">
        <x:v>0.3</x:v>
      </x:c>
      <x:c r="Q146" s="104" t="n">
        <x:v>0.3</x:v>
      </x:c>
      <x:c r="R146" s="104" t="n">
        <x:v>0</x:v>
      </x:c>
      <x:c r="S146" s="104" t="n">
        <x:v>19</x:v>
      </x:c>
      <x:c r="T146" s="104" t="n">
        <x:v>19</x:v>
      </x:c>
      <x:c r="U146" s="104" t="n">
        <x:v>0</x:v>
      </x:c>
      <x:c r="V146" s="104"/>
      <x:c r="W146" s="103" t="n">
        <x:v>10</x:v>
      </x:c>
      <x:c r="X146" s="105" t="str">
        <x:v>preserved the minimum feasible negative-P5 exposure; projection +2.7 pts; released $4.2M; became the projected 2x captain.</x:v>
      </x:c>
    </x:row>
    <x:row r="147" ht="44" customHeight="1">
      <x:c r="A147" s="101" t="str">
        <x:v>Budget Builder</x:v>
      </x:c>
      <x:c r="B147" s="101" t="str">
        <x:v>Total avoidance</x:v>
      </x:c>
      <x:c r="C147" s="101" t="n">
        <x:v>2</x:v>
      </x:c>
      <x:c r="D147" s="101" t="str">
        <x:v>Chinese Grand Prix</x:v>
      </x:c>
      <x:c r="E147" s="101" t="str">
        <x:v>reconstructed</x:v>
      </x:c>
      <x:c r="F147" s="101" t="str"/>
      <x:c r="G147" s="101" t="str">
        <x:v>constructor</x:v>
      </x:c>
      <x:c r="H147" s="101" t="str">
        <x:v>williams</x:v>
      </x:c>
      <x:c r="I147" s="101" t="str">
        <x:v>audi</x:v>
      </x:c>
      <x:c r="J147" s="102" t="n">
        <x:v>13.2</x:v>
      </x:c>
      <x:c r="K147" s="102" t="n">
        <x:v>5.4</x:v>
      </x:c>
      <x:c r="L147" s="102" t="n">
        <x:v>-7.8</x:v>
      </x:c>
      <x:c r="M147" s="104" t="n">
        <x:v>37.8</x:v>
      </x:c>
      <x:c r="N147" s="104" t="n">
        <x:v>33.9</x:v>
      </x:c>
      <x:c r="O147" s="104" t="n">
        <x:v>-3.9</x:v>
      </x:c>
      <x:c r="P147" s="104" t="n">
        <x:v>0.6</x:v>
      </x:c>
      <x:c r="Q147" s="104" t="n">
        <x:v>0.6</x:v>
      </x:c>
      <x:c r="R147" s="104" t="n">
        <x:v>0</x:v>
      </x:c>
      <x:c r="S147" s="104" t="n">
        <x:v>7.5</x:v>
      </x:c>
      <x:c r="T147" s="104" t="n">
        <x:v>-5.5</x:v>
      </x:c>
      <x:c r="U147" s="104" t="n">
        <x:v>5.5</x:v>
      </x:c>
      <x:c r="V147" s="104"/>
      <x:c r="W147" s="103" t="n">
        <x:v>10</x:v>
      </x:c>
      <x:c r="X147" s="105" t="str">
        <x:v>accepted 5.5 more negative-P5 exposure only as part of the safest feasible full lineup; gave up 3.9 projected pts; negative-P5 exposure +5.5; released $7.8M.</x:v>
      </x:c>
    </x:row>
    <x:row r="148" ht="44" customHeight="1">
      <x:c r="A148" s="101" t="str">
        <x:v>Budget Builder</x:v>
      </x:c>
      <x:c r="B148" s="101" t="str">
        <x:v>Total avoidance</x:v>
      </x:c>
      <x:c r="C148" s="101" t="n">
        <x:v>3</x:v>
      </x:c>
      <x:c r="D148" s="101" t="str">
        <x:v>Japanese Grand Prix</x:v>
      </x:c>
      <x:c r="E148" s="101" t="str">
        <x:v>reconstructed</x:v>
      </x:c>
      <x:c r="F148" s="101" t="str"/>
      <x:c r="G148" s="101" t="str">
        <x:v>driver</x:v>
      </x:c>
      <x:c r="H148" s="101" t="str">
        <x:v>ALB</x:v>
      </x:c>
      <x:c r="I148" s="101" t="str">
        <x:v>LIN</x:v>
      </x:c>
      <x:c r="J148" s="102" t="n">
        <x:v>10.8</x:v>
      </x:c>
      <x:c r="K148" s="102" t="n">
        <x:v>7.4</x:v>
      </x:c>
      <x:c r="L148" s="102" t="n">
        <x:v>-3.4</x:v>
      </x:c>
      <x:c r="M148" s="104" t="n">
        <x:v>2.6</x:v>
      </x:c>
      <x:c r="N148" s="104" t="n">
        <x:v>10.4</x:v>
      </x:c>
      <x:c r="O148" s="104" t="n">
        <x:v>7.8</x:v>
      </x:c>
      <x:c r="P148" s="104" t="n">
        <x:v>-0.6</x:v>
      </x:c>
      <x:c r="Q148" s="104" t="n">
        <x:v>0.6</x:v>
      </x:c>
      <x:c r="R148" s="104" t="n">
        <x:v>1.2</x:v>
      </x:c>
      <x:c r="S148" s="104" t="n">
        <x:v>-6</x:v>
      </x:c>
      <x:c r="T148" s="104" t="n">
        <x:v>-2</x:v>
      </x:c>
      <x:c r="U148" s="104" t="n">
        <x:v>-4</x:v>
      </x:c>
      <x:c r="V148" s="104"/>
      <x:c r="W148" s="103" t="n">
        <x:v>10</x:v>
      </x:c>
      <x:c r="X148" s="105" t="str">
        <x:v>cut negative-P5 exposure by 4.0, the profile's first priority; projection +7.8 pts; forecast price change +1.2M; negative-P5 exposure -4.0; released $3.4M.</x:v>
      </x:c>
    </x:row>
    <x:row r="149" ht="44" customHeight="1">
      <x:c r="A149" s="101" t="str">
        <x:v>Budget Builder</x:v>
      </x:c>
      <x:c r="B149" s="101" t="str">
        <x:v>Total avoidance</x:v>
      </x:c>
      <x:c r="C149" s="101" t="n">
        <x:v>3</x:v>
      </x:c>
      <x:c r="D149" s="101" t="str">
        <x:v>Japanese Grand Prix</x:v>
      </x:c>
      <x:c r="E149" s="101" t="str">
        <x:v>reconstructed</x:v>
      </x:c>
      <x:c r="F149" s="101" t="str"/>
      <x:c r="G149" s="101" t="str">
        <x:v>constructor</x:v>
      </x:c>
      <x:c r="H149" s="101" t="str">
        <x:v>audi</x:v>
      </x:c>
      <x:c r="I149" s="101" t="str">
        <x:v>racing_bulls</x:v>
      </x:c>
      <x:c r="J149" s="102" t="n">
        <x:v>5.4</x:v>
      </x:c>
      <x:c r="K149" s="102" t="n">
        <x:v>7.5</x:v>
      </x:c>
      <x:c r="L149" s="102" t="n">
        <x:v>2.1</x:v>
      </x:c>
      <x:c r="M149" s="104" t="n">
        <x:v>19.4</x:v>
      </x:c>
      <x:c r="N149" s="104" t="n">
        <x:v>25.4</x:v>
      </x:c>
      <x:c r="O149" s="104" t="n">
        <x:v>6</x:v>
      </x:c>
      <x:c r="P149" s="104" t="n">
        <x:v>0.2</x:v>
      </x:c>
      <x:c r="Q149" s="104" t="n">
        <x:v>0.6</x:v>
      </x:c>
      <x:c r="R149" s="104" t="n">
        <x:v>0.4</x:v>
      </x:c>
      <x:c r="S149" s="104" t="n">
        <x:v>-9.5</x:v>
      </x:c>
      <x:c r="T149" s="104" t="n">
        <x:v>-4.5</x:v>
      </x:c>
      <x:c r="U149" s="104" t="n">
        <x:v>-5</x:v>
      </x:c>
      <x:c r="V149" s="104"/>
      <x:c r="W149" s="103" t="n">
        <x:v>10</x:v>
      </x:c>
      <x:c r="X149" s="105" t="str">
        <x:v>cut negative-P5 exposure by 5.0, the profile's first priority; projection +6.0 pts; forecast price change +0.4M; negative-P5 exposure -5.0; spent $2.1M more.</x:v>
      </x:c>
    </x:row>
    <x:row r="150" ht="44" customHeight="1">
      <x:c r="A150" s="101" t="str">
        <x:v>Budget Builder</x:v>
      </x:c>
      <x:c r="B150" s="101" t="str">
        <x:v>Total avoidance</x:v>
      </x:c>
      <x:c r="C150" s="101" t="n">
        <x:v>6</x:v>
      </x:c>
      <x:c r="D150" s="101" t="str">
        <x:v>Miami Grand Prix</x:v>
      </x:c>
      <x:c r="E150" s="101" t="str">
        <x:v>genuine</x:v>
      </x:c>
      <x:c r="F150" s="101" t="str"/>
      <x:c r="G150" s="101" t="str">
        <x:v>driver</x:v>
      </x:c>
      <x:c r="H150" s="101" t="str">
        <x:v>HAM</x:v>
      </x:c>
      <x:c r="I150" s="101" t="str">
        <x:v>LAW</x:v>
      </x:c>
      <x:c r="J150" s="102" t="n">
        <x:v>23.2</x:v>
      </x:c>
      <x:c r="K150" s="102" t="n">
        <x:v>7.5</x:v>
      </x:c>
      <x:c r="L150" s="102" t="n">
        <x:v>-15.7</x:v>
      </x:c>
      <x:c r="M150" s="104" t="n">
        <x:v>30.7</x:v>
      </x:c>
      <x:c r="N150" s="104" t="n">
        <x:v>23.4</x:v>
      </x:c>
      <x:c r="O150" s="104" t="n">
        <x:v>-7.3</x:v>
      </x:c>
      <x:c r="P150" s="104" t="n">
        <x:v>0.3</x:v>
      </x:c>
      <x:c r="Q150" s="104" t="n">
        <x:v>0.6</x:v>
      </x:c>
      <x:c r="R150" s="104" t="n">
        <x:v>0.3</x:v>
      </x:c>
      <x:c r="S150" s="104" t="n">
        <x:v>13</x:v>
      </x:c>
      <x:c r="T150" s="104" t="n">
        <x:v>1</x:v>
      </x:c>
      <x:c r="U150" s="104" t="n">
        <x:v>0</x:v>
      </x:c>
      <x:c r="V150" s="104"/>
      <x:c r="W150" s="103" t="n">
        <x:v>10</x:v>
      </x:c>
      <x:c r="X150" s="105" t="str">
        <x:v>preserved the minimum feasible negative-P5 exposure; gave up 7.3 projected pts; forecast price change +0.3M; released $15.7M.</x:v>
      </x:c>
    </x:row>
    <x:row r="151" ht="44" customHeight="1">
      <x:c r="A151" s="101" t="str">
        <x:v>Budget Builder</x:v>
      </x:c>
      <x:c r="B151" s="101" t="str">
        <x:v>Total avoidance</x:v>
      </x:c>
      <x:c r="C151" s="101" t="n">
        <x:v>6</x:v>
      </x:c>
      <x:c r="D151" s="101" t="str">
        <x:v>Miami Grand Prix</x:v>
      </x:c>
      <x:c r="E151" s="101" t="str">
        <x:v>genuine</x:v>
      </x:c>
      <x:c r="F151" s="101" t="str"/>
      <x:c r="G151" s="101" t="str">
        <x:v>constructor</x:v>
      </x:c>
      <x:c r="H151" s="101" t="str">
        <x:v>haas</x:v>
      </x:c>
      <x:c r="I151" s="101" t="str">
        <x:v>ferrari</x:v>
      </x:c>
      <x:c r="J151" s="102" t="n">
        <x:v>9.2</x:v>
      </x:c>
      <x:c r="K151" s="102" t="n">
        <x:v>24.2</x:v>
      </x:c>
      <x:c r="L151" s="102" t="n">
        <x:v>15</x:v>
      </x:c>
      <x:c r="M151" s="104" t="n">
        <x:v>44.6</x:v>
      </x:c>
      <x:c r="N151" s="104" t="n">
        <x:v>99.9</x:v>
      </x:c>
      <x:c r="O151" s="104" t="n">
        <x:v>55.3</x:v>
      </x:c>
      <x:c r="P151" s="104" t="n">
        <x:v>0.6</x:v>
      </x:c>
      <x:c r="Q151" s="104" t="n">
        <x:v>0.3</x:v>
      </x:c>
      <x:c r="R151" s="104" t="n">
        <x:v>-0.3</x:v>
      </x:c>
      <x:c r="S151" s="104" t="n">
        <x:v>5.5</x:v>
      </x:c>
      <x:c r="T151" s="104" t="n">
        <x:v>62.5</x:v>
      </x:c>
      <x:c r="U151" s="104" t="n">
        <x:v>0</x:v>
      </x:c>
      <x:c r="V151" s="104"/>
      <x:c r="W151" s="103" t="n">
        <x:v>10</x:v>
      </x:c>
      <x:c r="X151" s="105" t="str">
        <x:v>preserved the minimum feasible negative-P5 exposure; projection +55.3 pts; forecast price change -0.3M; spent $15.0M more.</x:v>
      </x:c>
    </x:row>
    <x:row r="152" ht="44" customHeight="1">
      <x:c r="A152" s="101" t="str">
        <x:v>Budget Builder</x:v>
      </x:c>
      <x:c r="B152" s="101" t="str">
        <x:v>Total avoidance</x:v>
      </x:c>
      <x:c r="C152" s="101" t="n">
        <x:v>7</x:v>
      </x:c>
      <x:c r="D152" s="101" t="str">
        <x:v>Canadian Grand Prix</x:v>
      </x:c>
      <x:c r="E152" s="101" t="str">
        <x:v>genuine</x:v>
      </x:c>
      <x:c r="F152" s="101" t="str">
        <x:v>wild card</x:v>
      </x:c>
      <x:c r="G152" s="101" t="str">
        <x:v>driver</x:v>
      </x:c>
      <x:c r="H152" s="101" t="str">
        <x:v>LAW</x:v>
      </x:c>
      <x:c r="I152" s="101" t="str">
        <x:v>COL</x:v>
      </x:c>
      <x:c r="J152" s="102" t="n">
        <x:v>8.1</x:v>
      </x:c>
      <x:c r="K152" s="102" t="n">
        <x:v>8.2</x:v>
      </x:c>
      <x:c r="L152" s="102" t="n">
        <x:v>0.1</x:v>
      </x:c>
      <x:c r="M152" s="104" t="n">
        <x:v>15.1</x:v>
      </x:c>
      <x:c r="N152" s="104" t="n">
        <x:v>15.9</x:v>
      </x:c>
      <x:c r="O152" s="104" t="n">
        <x:v>0.8</x:v>
      </x:c>
      <x:c r="P152" s="104" t="n">
        <x:v>-0.6</x:v>
      </x:c>
      <x:c r="Q152" s="104" t="n">
        <x:v>0.6</x:v>
      </x:c>
      <x:c r="R152" s="104" t="n">
        <x:v>1.2</x:v>
      </x:c>
      <x:c r="S152" s="104" t="n">
        <x:v>-16</x:v>
      </x:c>
      <x:c r="T152" s="104" t="n">
        <x:v>-6</x:v>
      </x:c>
      <x:c r="U152" s="104" t="n">
        <x:v>-10</x:v>
      </x:c>
      <x:c r="V152" s="104"/>
      <x:c r="W152" s="103" t="n">
        <x:v>0</x:v>
      </x:c>
      <x:c r="X152" s="105" t="str">
        <x:v>Wild Card made the permanent rebuild free; Forecasted competitive-order change called for 4 lineup changes and a 49.6-utility improvement; this is the upgrade/order-shift proxy.; cut negative-P5 exposure by 10.0, the profile's first priority; projection +0.8 pts; forecast price change +1.2M; negative-P5 exposure -10.0; spent $0.1M more.</x:v>
      </x:c>
    </x:row>
    <x:row r="153" ht="44" customHeight="1">
      <x:c r="A153" s="101" t="str">
        <x:v>Budget Builder</x:v>
      </x:c>
      <x:c r="B153" s="101" t="str">
        <x:v>Total avoidance</x:v>
      </x:c>
      <x:c r="C153" s="101" t="n">
        <x:v>7</x:v>
      </x:c>
      <x:c r="D153" s="101" t="str">
        <x:v>Canadian Grand Prix</x:v>
      </x:c>
      <x:c r="E153" s="101" t="str">
        <x:v>genuine</x:v>
      </x:c>
      <x:c r="F153" s="101" t="str">
        <x:v>wild card</x:v>
      </x:c>
      <x:c r="G153" s="101" t="str">
        <x:v>driver</x:v>
      </x:c>
      <x:c r="H153" s="101" t="str">
        <x:v>LEC</x:v>
      </x:c>
      <x:c r="I153" s="101" t="str">
        <x:v>NOR</x:v>
      </x:c>
      <x:c r="J153" s="102" t="n">
        <x:v>24</x:v>
      </x:c>
      <x:c r="K153" s="102" t="n">
        <x:v>26.4</x:v>
      </x:c>
      <x:c r="L153" s="102" t="n">
        <x:v>2.4</x:v>
      </x:c>
      <x:c r="M153" s="104" t="n">
        <x:v>30.3</x:v>
      </x:c>
      <x:c r="N153" s="104" t="n">
        <x:v>41.1</x:v>
      </x:c>
      <x:c r="O153" s="104" t="n">
        <x:v>10.8</x:v>
      </x:c>
      <x:c r="P153" s="104" t="n">
        <x:v>0.3</x:v>
      </x:c>
      <x:c r="Q153" s="104" t="n">
        <x:v>0.3</x:v>
      </x:c>
      <x:c r="R153" s="104" t="n">
        <x:v>0</x:v>
      </x:c>
      <x:c r="S153" s="104" t="n">
        <x:v>13</x:v>
      </x:c>
      <x:c r="T153" s="104" t="n">
        <x:v>19</x:v>
      </x:c>
      <x:c r="U153" s="104" t="n">
        <x:v>0</x:v>
      </x:c>
      <x:c r="V153" s="104"/>
      <x:c r="W153" s="103" t="n">
        <x:v>0</x:v>
      </x:c>
      <x:c r="X153" s="105" t="str">
        <x:v>Wild Card made the permanent rebuild free; Forecasted competitive-order change called for 4 lineup changes and a 49.6-utility improvement; this is the upgrade/order-shift proxy.; preserved the minimum feasible negative-P5 exposure; projection +10.8 pts; spent $2.4M more.</x:v>
      </x:c>
    </x:row>
    <x:row r="154" ht="44" customHeight="1">
      <x:c r="A154" s="101" t="str">
        <x:v>Budget Builder</x:v>
      </x:c>
      <x:c r="B154" s="101" t="str">
        <x:v>Total avoidance</x:v>
      </x:c>
      <x:c r="C154" s="101" t="n">
        <x:v>7</x:v>
      </x:c>
      <x:c r="D154" s="101" t="str">
        <x:v>Canadian Grand Prix</x:v>
      </x:c>
      <x:c r="E154" s="101" t="str">
        <x:v>genuine</x:v>
      </x:c>
      <x:c r="F154" s="101" t="str">
        <x:v>wild card</x:v>
      </x:c>
      <x:c r="G154" s="101" t="str">
        <x:v>driver</x:v>
      </x:c>
      <x:c r="H154" s="101" t="str">
        <x:v>LIN</x:v>
      </x:c>
      <x:c r="I154" s="101" t="str">
        <x:v>SAI</x:v>
      </x:c>
      <x:c r="J154" s="102" t="n">
        <x:v>7</x:v>
      </x:c>
      <x:c r="K154" s="102" t="n">
        <x:v>13</x:v>
      </x:c>
      <x:c r="L154" s="102" t="n">
        <x:v>6</x:v>
      </x:c>
      <x:c r="M154" s="104" t="n">
        <x:v>11.1</x:v>
      </x:c>
      <x:c r="N154" s="104" t="n">
        <x:v>15.2</x:v>
      </x:c>
      <x:c r="O154" s="104" t="n">
        <x:v>4.1</x:v>
      </x:c>
      <x:c r="P154" s="104" t="n">
        <x:v>-0.6</x:v>
      </x:c>
      <x:c r="Q154" s="104" t="n">
        <x:v>0.2</x:v>
      </x:c>
      <x:c r="R154" s="104" t="n">
        <x:v>0.8</x:v>
      </x:c>
      <x:c r="S154" s="104" t="n">
        <x:v>-6</x:v>
      </x:c>
      <x:c r="T154" s="104" t="n">
        <x:v>-2</x:v>
      </x:c>
      <x:c r="U154" s="104" t="n">
        <x:v>-4</x:v>
      </x:c>
      <x:c r="V154" s="104"/>
      <x:c r="W154" s="103" t="n">
        <x:v>0</x:v>
      </x:c>
      <x:c r="X154" s="105" t="str">
        <x:v>Wild Card made the permanent rebuild free; Forecasted competitive-order change called for 4 lineup changes and a 49.6-utility improvement; this is the upgrade/order-shift proxy.; cut negative-P5 exposure by 4.0, the profile's first priority; projection +4.1 pts; forecast price change +0.8M; negative-P5 exposure -4.0; spent $6.0M more.</x:v>
      </x:c>
    </x:row>
    <x:row r="155" ht="44" customHeight="1">
      <x:c r="A155" s="101" t="str">
        <x:v>Budget Builder</x:v>
      </x:c>
      <x:c r="B155" s="101" t="str">
        <x:v>Total avoidance</x:v>
      </x:c>
      <x:c r="C155" s="101" t="n">
        <x:v>7</x:v>
      </x:c>
      <x:c r="D155" s="101" t="str">
        <x:v>Canadian Grand Prix</x:v>
      </x:c>
      <x:c r="E155" s="101" t="str">
        <x:v>genuine</x:v>
      </x:c>
      <x:c r="F155" s="101" t="str">
        <x:v>wild card</x:v>
      </x:c>
      <x:c r="G155" s="101" t="str">
        <x:v>constructor</x:v>
      </x:c>
      <x:c r="H155" s="101" t="str">
        <x:v>ferrari</x:v>
      </x:c>
      <x:c r="I155" s="101" t="str">
        <x:v>williams</x:v>
      </x:c>
      <x:c r="J155" s="102" t="n">
        <x:v>24.5</x:v>
      </x:c>
      <x:c r="K155" s="102" t="n">
        <x:v>14.4</x:v>
      </x:c>
      <x:c r="L155" s="102" t="n">
        <x:v>-10.1</x:v>
      </x:c>
      <x:c r="M155" s="104" t="n">
        <x:v>84.8</x:v>
      </x:c>
      <x:c r="N155" s="104" t="n">
        <x:v>38.8</x:v>
      </x:c>
      <x:c r="O155" s="104" t="n">
        <x:v>-46</x:v>
      </x:c>
      <x:c r="P155" s="104" t="n">
        <x:v>0.3</x:v>
      </x:c>
      <x:c r="Q155" s="104" t="n">
        <x:v>0.6</x:v>
      </x:c>
      <x:c r="R155" s="104" t="n">
        <x:v>0.3</x:v>
      </x:c>
      <x:c r="S155" s="104" t="n">
        <x:v>50.5</x:v>
      </x:c>
      <x:c r="T155" s="104" t="n">
        <x:v>10.5</x:v>
      </x:c>
      <x:c r="U155" s="104" t="n">
        <x:v>0</x:v>
      </x:c>
      <x:c r="V155" s="104"/>
      <x:c r="W155" s="103" t="n">
        <x:v>0</x:v>
      </x:c>
      <x:c r="X155" s="105" t="str">
        <x:v>Wild Card made the permanent rebuild free; Forecasted competitive-order change called for 4 lineup changes and a 49.6-utility improvement; this is the upgrade/order-shift proxy.; preserved the minimum feasible negative-P5 exposure; gave up 46.0 projected pts; forecast price change +0.3M; released $10.1M.</x:v>
      </x:c>
    </x:row>
    <x:row r="156" ht="44" customHeight="1">
      <x:c r="A156" s="101" t="str">
        <x:v>Budget Builder</x:v>
      </x:c>
      <x:c r="B156" s="101" t="str">
        <x:v>Total avoidance</x:v>
      </x:c>
      <x:c r="C156" s="101" t="n">
        <x:v>9</x:v>
      </x:c>
      <x:c r="D156" s="101" t="str">
        <x:v>Spanish Grand Prix</x:v>
      </x:c>
      <x:c r="E156" s="101" t="str">
        <x:v>genuine</x:v>
      </x:c>
      <x:c r="F156" s="101" t="str"/>
      <x:c r="G156" s="101" t="str">
        <x:v>driver</x:v>
      </x:c>
      <x:c r="H156" s="101" t="str">
        <x:v>COL</x:v>
      </x:c>
      <x:c r="I156" s="101" t="str">
        <x:v>LIN</x:v>
      </x:c>
      <x:c r="J156" s="102" t="n">
        <x:v>9.4</x:v>
      </x:c>
      <x:c r="K156" s="102" t="n">
        <x:v>5.8</x:v>
      </x:c>
      <x:c r="L156" s="102" t="n">
        <x:v>-3.6</x:v>
      </x:c>
      <x:c r="M156" s="104" t="n">
        <x:v>5.5</x:v>
      </x:c>
      <x:c r="N156" s="104" t="n">
        <x:v>6.6</x:v>
      </x:c>
      <x:c r="O156" s="104" t="n">
        <x:v>1.1</x:v>
      </x:c>
      <x:c r="P156" s="104" t="n">
        <x:v>0.2</x:v>
      </x:c>
      <x:c r="Q156" s="104" t="n">
        <x:v>-0.6</x:v>
      </x:c>
      <x:c r="R156" s="104" t="n">
        <x:v>-0.8</x:v>
      </x:c>
      <x:c r="S156" s="104" t="n">
        <x:v>-3</x:v>
      </x:c>
      <x:c r="T156" s="104" t="n">
        <x:v>-2</x:v>
      </x:c>
      <x:c r="U156" s="104" t="n">
        <x:v>-1</x:v>
      </x:c>
      <x:c r="V156" s="104"/>
      <x:c r="W156" s="103" t="n">
        <x:v>10</x:v>
      </x:c>
      <x:c r="X156" s="105" t="str">
        <x:v>cut negative-P5 exposure by 1.0, the profile's first priority; projection +1.1 pts; forecast price change -0.8M; negative-P5 exposure -1.0; released $3.6M.</x:v>
      </x:c>
    </x:row>
    <x:row r="157" ht="44" customHeight="1">
      <x:c r="A157" s="101" t="str">
        <x:v>Budget Builder</x:v>
      </x:c>
      <x:c r="B157" s="101" t="str">
        <x:v>Total avoidance</x:v>
      </x:c>
      <x:c r="C157" s="101" t="n">
        <x:v>9</x:v>
      </x:c>
      <x:c r="D157" s="101" t="str">
        <x:v>Spanish Grand Prix</x:v>
      </x:c>
      <x:c r="E157" s="101" t="str">
        <x:v>genuine</x:v>
      </x:c>
      <x:c r="F157" s="101" t="str"/>
      <x:c r="G157" s="101" t="str">
        <x:v>driver</x:v>
      </x:c>
      <x:c r="H157" s="101" t="str">
        <x:v>NOR</x:v>
      </x:c>
      <x:c r="I157" s="101" t="str">
        <x:v>PIA</x:v>
      </x:c>
      <x:c r="J157" s="102" t="n">
        <x:v>26.2</x:v>
      </x:c>
      <x:c r="K157" s="102" t="n">
        <x:v>25.1</x:v>
      </x:c>
      <x:c r="L157" s="102" t="n">
        <x:v>-1.1</x:v>
      </x:c>
      <x:c r="M157" s="104" t="n">
        <x:v>24.1</x:v>
      </x:c>
      <x:c r="N157" s="104" t="n">
        <x:v>25.2</x:v>
      </x:c>
      <x:c r="O157" s="104" t="n">
        <x:v>1.1</x:v>
      </x:c>
      <x:c r="P157" s="104" t="n">
        <x:v>-0.3</x:v>
      </x:c>
      <x:c r="Q157" s="104" t="n">
        <x:v>-0.1</x:v>
      </x:c>
      <x:c r="R157" s="104" t="n">
        <x:v>0.2</x:v>
      </x:c>
      <x:c r="S157" s="104" t="n">
        <x:v>-6</x:v>
      </x:c>
      <x:c r="T157" s="104" t="n">
        <x:v>10</x:v>
      </x:c>
      <x:c r="U157" s="104" t="n">
        <x:v>-6</x:v>
      </x:c>
      <x:c r="V157" s="104"/>
      <x:c r="W157" s="103" t="n">
        <x:v>10</x:v>
      </x:c>
      <x:c r="X157" s="105" t="str">
        <x:v>cut negative-P5 exposure by 6.0, the profile's first priority; projection +1.1 pts; forecast price change +0.2M; negative-P5 exposure -6.0; released $1.1M.</x:v>
      </x:c>
    </x:row>
    <x:row r="158" ht="44" customHeight="1">
      <x:c r="A158" s="101" t="str">
        <x:v>Budget Builder</x:v>
      </x:c>
      <x:c r="B158" s="101" t="str">
        <x:v>Total avoidance</x:v>
      </x:c>
      <x:c r="C158" s="101" t="n">
        <x:v>9</x:v>
      </x:c>
      <x:c r="D158" s="101" t="str">
        <x:v>Spanish Grand Prix</x:v>
      </x:c>
      <x:c r="E158" s="101" t="str">
        <x:v>genuine</x:v>
      </x:c>
      <x:c r="F158" s="101" t="str"/>
      <x:c r="G158" s="101" t="str">
        <x:v>driver</x:v>
      </x:c>
      <x:c r="H158" s="101" t="str">
        <x:v>SAI</x:v>
      </x:c>
      <x:c r="I158" s="101" t="str">
        <x:v>HAM</x:v>
      </x:c>
      <x:c r="J158" s="102" t="n">
        <x:v>12.6</x:v>
      </x:c>
      <x:c r="K158" s="102" t="n">
        <x:v>23.9</x:v>
      </x:c>
      <x:c r="L158" s="102" t="n">
        <x:v>11.3</x:v>
      </x:c>
      <x:c r="M158" s="104" t="n">
        <x:v>1.7</x:v>
      </x:c>
      <x:c r="N158" s="104" t="n">
        <x:v>23.1</x:v>
      </x:c>
      <x:c r="O158" s="104" t="n">
        <x:v>21.4</x:v>
      </x:c>
      <x:c r="P158" s="104" t="n">
        <x:v>-0.6</x:v>
      </x:c>
      <x:c r="Q158" s="104" t="n">
        <x:v>0.3</x:v>
      </x:c>
      <x:c r="R158" s="104" t="n">
        <x:v>0.9</x:v>
      </x:c>
      <x:c r="S158" s="104" t="n">
        <x:v>-12</x:v>
      </x:c>
      <x:c r="T158" s="104" t="n">
        <x:v>7</x:v>
      </x:c>
      <x:c r="U158" s="104" t="n">
        <x:v>-12</x:v>
      </x:c>
      <x:c r="V158" s="104"/>
      <x:c r="W158" s="103" t="n">
        <x:v>10</x:v>
      </x:c>
      <x:c r="X158" s="105" t="str">
        <x:v>cut negative-P5 exposure by 12.0, the profile's first priority; projection +21.4 pts; forecast price change +0.9M; negative-P5 exposure -12.0; spent $11.3M more.</x:v>
      </x:c>
    </x:row>
    <x:row r="159" ht="44" customHeight="1">
      <x:c r="A159" s="101" t="str">
        <x:v>Budget Builder</x:v>
      </x:c>
      <x:c r="B159" s="101" t="str">
        <x:v>Total avoidance</x:v>
      </x:c>
      <x:c r="C159" s="101" t="n">
        <x:v>9</x:v>
      </x:c>
      <x:c r="D159" s="101" t="str">
        <x:v>Spanish Grand Prix</x:v>
      </x:c>
      <x:c r="E159" s="101" t="str">
        <x:v>genuine</x:v>
      </x:c>
      <x:c r="F159" s="101" t="str"/>
      <x:c r="G159" s="101" t="str">
        <x:v>constructor</x:v>
      </x:c>
      <x:c r="H159" s="101" t="str">
        <x:v>williams</x:v>
      </x:c>
      <x:c r="I159" s="101" t="str">
        <x:v>haas</x:v>
      </x:c>
      <x:c r="J159" s="102" t="n">
        <x:v>15.6</x:v>
      </x:c>
      <x:c r="K159" s="102" t="n">
        <x:v>10.6</x:v>
      </x:c>
      <x:c r="L159" s="102" t="n">
        <x:v>-5</x:v>
      </x:c>
      <x:c r="M159" s="104" t="n">
        <x:v>17.9</x:v>
      </x:c>
      <x:c r="N159" s="104" t="n">
        <x:v>22.5</x:v>
      </x:c>
      <x:c r="O159" s="104" t="n">
        <x:v>4.6</x:v>
      </x:c>
      <x:c r="P159" s="104" t="n">
        <x:v>-0.2</x:v>
      </x:c>
      <x:c r="Q159" s="104" t="n">
        <x:v>0.2</x:v>
      </x:c>
      <x:c r="R159" s="104" t="n">
        <x:v>0.4</x:v>
      </x:c>
      <x:c r="S159" s="104" t="n">
        <x:v>-5.5</x:v>
      </x:c>
      <x:c r="T159" s="104" t="n">
        <x:v>0.5</x:v>
      </x:c>
      <x:c r="U159" s="104" t="n">
        <x:v>-5.5</x:v>
      </x:c>
      <x:c r="V159" s="104"/>
      <x:c r="W159" s="103" t="n">
        <x:v>10</x:v>
      </x:c>
      <x:c r="X159" s="105" t="str">
        <x:v>cut negative-P5 exposure by 5.5, the profile's first priority; projection +4.6 pts; forecast price change +0.4M; negative-P5 exposure -5.5; released $5.0M.</x:v>
      </x:c>
    </x:row>
    <x:row r="160" ht="44" customHeight="1">
      <x:c r="A160" s="101" t="str">
        <x:v>Budget Builder</x:v>
      </x:c>
      <x:c r="B160" s="101" t="str">
        <x:v>Total avoidance</x:v>
      </x:c>
      <x:c r="C160" s="101" t="n">
        <x:v>10</x:v>
      </x:c>
      <x:c r="D160" s="101" t="str">
        <x:v>Austrian Grand Prix</x:v>
      </x:c>
      <x:c r="E160" s="101" t="str">
        <x:v>genuine</x:v>
      </x:c>
      <x:c r="F160" s="101" t="str">
        <x:v>no negative</x:v>
      </x:c>
      <x:c r="G160" s="101" t="str">
        <x:v>driver</x:v>
      </x:c>
      <x:c r="H160" s="101" t="str">
        <x:v>ANT</x:v>
      </x:c>
      <x:c r="I160" s="101" t="str">
        <x:v>COL</x:v>
      </x:c>
      <x:c r="J160" s="102" t="n">
        <x:v>25.3</x:v>
      </x:c>
      <x:c r="K160" s="102" t="n">
        <x:v>10</x:v>
      </x:c>
      <x:c r="L160" s="102" t="n">
        <x:v>-15.3</x:v>
      </x:c>
      <x:c r="M160" s="104" t="n">
        <x:v>27.7</x:v>
      </x:c>
      <x:c r="N160" s="104" t="n">
        <x:v>5.6</x:v>
      </x:c>
      <x:c r="O160" s="104" t="n">
        <x:v>-22.1</x:v>
      </x:c>
      <x:c r="P160" s="104" t="n">
        <x:v>0.1</x:v>
      </x:c>
      <x:c r="Q160" s="104" t="n">
        <x:v>-0.6</x:v>
      </x:c>
      <x:c r="R160" s="104" t="n">
        <x:v>-0.7</x:v>
      </x:c>
      <x:c r="S160" s="104" t="n">
        <x:v>-14.3</x:v>
      </x:c>
      <x:c r="T160" s="104" t="n">
        <x:v>-3</x:v>
      </x:c>
      <x:c r="U160" s="104" t="n">
        <x:v>-11.3</x:v>
      </x:c>
      <x:c r="V160" s="104"/>
      <x:c r="W160" s="103" t="n">
        <x:v>10</x:v>
      </x:c>
      <x:c r="X160" s="105" t="str">
        <x:v>cut negative-P5 exposure by 11.3, the profile's first priority; gave up 22.1 projected pts; forecast price change -0.7M; negative-P5 exposure -11.3; released $15.3M.</x:v>
      </x:c>
    </x:row>
    <x:row r="161" ht="44" customHeight="1">
      <x:c r="A161" s="101" t="str">
        <x:v>Budget Builder</x:v>
      </x:c>
      <x:c r="B161" s="101" t="str">
        <x:v>Total avoidance</x:v>
      </x:c>
      <x:c r="C161" s="101" t="n">
        <x:v>10</x:v>
      </x:c>
      <x:c r="D161" s="101" t="str">
        <x:v>Austrian Grand Prix</x:v>
      </x:c>
      <x:c r="E161" s="101" t="str">
        <x:v>genuine</x:v>
      </x:c>
      <x:c r="F161" s="101" t="str">
        <x:v>no negative</x:v>
      </x:c>
      <x:c r="G161" s="101" t="str">
        <x:v>constructor</x:v>
      </x:c>
      <x:c r="H161" s="101" t="str">
        <x:v>haas</x:v>
      </x:c>
      <x:c r="I161" s="101" t="str">
        <x:v>ferrari</x:v>
      </x:c>
      <x:c r="J161" s="102" t="n">
        <x:v>10.4</x:v>
      </x:c>
      <x:c r="K161" s="102" t="n">
        <x:v>25.4</x:v>
      </x:c>
      <x:c r="L161" s="102" t="n">
        <x:v>15</x:v>
      </x:c>
      <x:c r="M161" s="104" t="n">
        <x:v>16.4</x:v>
      </x:c>
      <x:c r="N161" s="104" t="n">
        <x:v>57.5</x:v>
      </x:c>
      <x:c r="O161" s="104" t="n">
        <x:v>41.1</x:v>
      </x:c>
      <x:c r="P161" s="104" t="n">
        <x:v>-0.2</x:v>
      </x:c>
      <x:c r="Q161" s="104" t="n">
        <x:v>0.3</x:v>
      </x:c>
      <x:c r="R161" s="104" t="n">
        <x:v>0.5</x:v>
      </x:c>
      <x:c r="S161" s="104" t="n">
        <x:v>-13.1</x:v>
      </x:c>
      <x:c r="T161" s="104" t="n">
        <x:v>16.8</x:v>
      </x:c>
      <x:c r="U161" s="104" t="n">
        <x:v>-13.1</x:v>
      </x:c>
      <x:c r="V161" s="104"/>
      <x:c r="W161" s="103" t="n">
        <x:v>10</x:v>
      </x:c>
      <x:c r="X161" s="105" t="str">
        <x:v>cut negative-P5 exposure by 13.1, the profile's first priority; projection +41.1 pts; forecast price change +0.5M; negative-P5 exposure -13.1; spent $15.0M more.</x:v>
      </x:c>
    </x:row>
    <x:row r="162" ht="44" customHeight="1">
      <x:c r="A162" s="101" t="str">
        <x:v>Budget Builder</x:v>
      </x:c>
      <x:c r="B162" s="101" t="str">
        <x:v>Total avoidance</x:v>
      </x:c>
      <x:c r="C162" s="101" t="n">
        <x:v>11</x:v>
      </x:c>
      <x:c r="D162" s="101" t="str">
        <x:v>British Grand Prix</x:v>
      </x:c>
      <x:c r="E162" s="101" t="str">
        <x:v>genuine</x:v>
      </x:c>
      <x:c r="F162" s="101" t="str">
        <x:v>autopilot</x:v>
      </x:c>
      <x:c r="G162" s="101" t="str">
        <x:v>driver</x:v>
      </x:c>
      <x:c r="H162" s="101" t="str">
        <x:v>PIA</x:v>
      </x:c>
      <x:c r="I162" s="101" t="str">
        <x:v>ANT</x:v>
      </x:c>
      <x:c r="J162" s="102" t="n">
        <x:v>24.9</x:v>
      </x:c>
      <x:c r="K162" s="102" t="n">
        <x:v>25.4</x:v>
      </x:c>
      <x:c r="L162" s="102" t="n">
        <x:v>0.5</x:v>
      </x:c>
      <x:c r="M162" s="104" t="n">
        <x:v>18.7</x:v>
      </x:c>
      <x:c r="N162" s="104" t="n">
        <x:v>31.2</x:v>
      </x:c>
      <x:c r="O162" s="104" t="n">
        <x:v>12.5</x:v>
      </x:c>
      <x:c r="P162" s="104" t="n">
        <x:v>-0.1</x:v>
      </x:c>
      <x:c r="Q162" s="104" t="n">
        <x:v>-0.1</x:v>
      </x:c>
      <x:c r="R162" s="104" t="n">
        <x:v>0</x:v>
      </x:c>
      <x:c r="S162" s="104" t="n">
        <x:v>-6.7</x:v>
      </x:c>
      <x:c r="T162" s="104" t="n">
        <x:v>0</x:v>
      </x:c>
      <x:c r="U162" s="104" t="n">
        <x:v>-6.7</x:v>
      </x:c>
      <x:c r="V162" s="104"/>
      <x:c r="W162" s="103" t="n">
        <x:v>0</x:v>
      </x:c>
      <x:c r="X162" s="105" t="str">
        <x:v>cut negative-P5 exposure by 6.7, the profile's first priority; projection +12.5 pts; negative-P5 exposure -6.7; spent $0.5M more.</x:v>
      </x:c>
    </x:row>
    <x:row r="163" ht="44" customHeight="1">
      <x:c r="A163" s="101" t="str">
        <x:v>Budget Builder</x:v>
      </x:c>
      <x:c r="B163" s="101" t="str">
        <x:v>Total avoidance</x:v>
      </x:c>
      <x:c r="C163" s="101" t="n">
        <x:v>12</x:v>
      </x:c>
      <x:c r="D163" s="101" t="str">
        <x:v>Belgian Grand Prix</x:v>
      </x:c>
      <x:c r="E163" s="101" t="str">
        <x:v>genuine</x:v>
      </x:c>
      <x:c r="F163" s="101" t="str"/>
      <x:c r="G163" s="101" t="str">
        <x:v>driver</x:v>
      </x:c>
      <x:c r="H163" s="101" t="str">
        <x:v>COL</x:v>
      </x:c>
      <x:c r="I163" s="101" t="str">
        <x:v>HAD</x:v>
      </x:c>
      <x:c r="J163" s="102" t="n">
        <x:v>10.4</x:v>
      </x:c>
      <x:c r="K163" s="102" t="n">
        <x:v>13.3</x:v>
      </x:c>
      <x:c r="L163" s="102" t="n">
        <x:v>2.9</x:v>
      </x:c>
      <x:c r="M163" s="104" t="n">
        <x:v>2.7</x:v>
      </x:c>
      <x:c r="N163" s="104" t="n">
        <x:v>33.3</x:v>
      </x:c>
      <x:c r="O163" s="104" t="n">
        <x:v>30.6</x:v>
      </x:c>
      <x:c r="P163" s="104" t="n">
        <x:v>0.6</x:v>
      </x:c>
      <x:c r="Q163" s="104" t="n">
        <x:v>0.6</x:v>
      </x:c>
      <x:c r="R163" s="104" t="n">
        <x:v>0</x:v>
      </x:c>
      <x:c r="S163" s="104" t="n">
        <x:v>-14.7</x:v>
      </x:c>
      <x:c r="T163" s="104" t="n">
        <x:v>-14.7</x:v>
      </x:c>
      <x:c r="U163" s="104" t="n">
        <x:v>0</x:v>
      </x:c>
      <x:c r="V163" s="104"/>
      <x:c r="W163" s="103" t="n">
        <x:v>10</x:v>
      </x:c>
      <x:c r="X163" s="105" t="str">
        <x:v>preserved the minimum feasible negative-P5 exposure; projection +30.6 pts; spent $2.9M more; became the projected 2x captain.</x:v>
      </x:c>
    </x:row>
    <x:row r="164" ht="44" customHeight="1">
      <x:c r="A164" s="101" t="str">
        <x:v>Budget Builder</x:v>
      </x:c>
      <x:c r="B164" s="101" t="str">
        <x:v>Total avoidance</x:v>
      </x:c>
      <x:c r="C164" s="101" t="n">
        <x:v>12</x:v>
      </x:c>
      <x:c r="D164" s="101" t="str">
        <x:v>Belgian Grand Prix</x:v>
      </x:c>
      <x:c r="E164" s="101" t="str">
        <x:v>genuine</x:v>
      </x:c>
      <x:c r="F164" s="101" t="str"/>
      <x:c r="G164" s="101" t="str">
        <x:v>driver</x:v>
      </x:c>
      <x:c r="H164" s="101" t="str">
        <x:v>OCO</x:v>
      </x:c>
      <x:c r="I164" s="101" t="str">
        <x:v>BOR</x:v>
      </x:c>
      <x:c r="J164" s="102" t="n">
        <x:v>10.3</x:v>
      </x:c>
      <x:c r="K164" s="102" t="n">
        <x:v>6.6</x:v>
      </x:c>
      <x:c r="L164" s="102" t="n">
        <x:v>-3.7</x:v>
      </x:c>
      <x:c r="M164" s="104" t="n">
        <x:v>3.2</x:v>
      </x:c>
      <x:c r="N164" s="104" t="n">
        <x:v>1.9</x:v>
      </x:c>
      <x:c r="O164" s="104" t="n">
        <x:v>-1.3</x:v>
      </x:c>
      <x:c r="P164" s="104" t="n">
        <x:v>0.2</x:v>
      </x:c>
      <x:c r="Q164" s="104" t="n">
        <x:v>0.2</x:v>
      </x:c>
      <x:c r="R164" s="104" t="n">
        <x:v>0</x:v>
      </x:c>
      <x:c r="S164" s="104" t="n">
        <x:v>-15.4</x:v>
      </x:c>
      <x:c r="T164" s="104" t="n">
        <x:v>-15</x:v>
      </x:c>
      <x:c r="U164" s="104" t="n">
        <x:v>-0.4</x:v>
      </x:c>
      <x:c r="V164" s="104"/>
      <x:c r="W164" s="103" t="n">
        <x:v>10</x:v>
      </x:c>
      <x:c r="X164" s="105" t="str">
        <x:v>cut negative-P5 exposure by 0.4, the profile's first priority; gave up 1.3 projected pts; negative-P5 exposure -0.4; released $3.7M.</x:v>
      </x:c>
    </x:row>
    <x:row r="165" ht="44" customHeight="1">
      <x:c r="A165" s="101" t="str">
        <x:v>Budget Builder</x:v>
      </x:c>
      <x:c r="B165" s="101" t="str">
        <x:v>Minimal risk accepted</x:v>
      </x:c>
      <x:c r="C165" s="101" t="n">
        <x:v>2</x:v>
      </x:c>
      <x:c r="D165" s="101" t="str">
        <x:v>Chinese Grand Prix</x:v>
      </x:c>
      <x:c r="E165" s="101" t="str">
        <x:v>reconstructed</x:v>
      </x:c>
      <x:c r="F165" s="101" t="str"/>
      <x:c r="G165" s="101" t="str">
        <x:v>driver</x:v>
      </x:c>
      <x:c r="H165" s="101" t="str">
        <x:v>LIN</x:v>
      </x:c>
      <x:c r="I165" s="101" t="str">
        <x:v>ALB</x:v>
      </x:c>
      <x:c r="J165" s="102" t="n">
        <x:v>7.4</x:v>
      </x:c>
      <x:c r="K165" s="102" t="n">
        <x:v>10.8</x:v>
      </x:c>
      <x:c r="L165" s="102" t="n">
        <x:v>3.4</x:v>
      </x:c>
      <x:c r="M165" s="104" t="n">
        <x:v>10.2</x:v>
      </x:c>
      <x:c r="N165" s="104" t="n">
        <x:v>16.1</x:v>
      </x:c>
      <x:c r="O165" s="104" t="n">
        <x:v>5.9</x:v>
      </x:c>
      <x:c r="P165" s="104" t="n">
        <x:v>0.6</x:v>
      </x:c>
      <x:c r="Q165" s="104" t="n">
        <x:v>0.2</x:v>
      </x:c>
      <x:c r="R165" s="104" t="n">
        <x:v>-0.4</x:v>
      </x:c>
      <x:c r="S165" s="104" t="n">
        <x:v>-10</x:v>
      </x:c>
      <x:c r="T165" s="104" t="n">
        <x:v>-6</x:v>
      </x:c>
      <x:c r="U165" s="104" t="n">
        <x:v>-4</x:v>
      </x:c>
      <x:c r="V165" s="104" t="n">
        <x:v>5.9</x:v>
      </x:c>
      <x:c r="W165" s="103" t="n">
        <x:v>0</x:v>
      </x:c>
      <x:c r="X165" s="105" t="str">
        <x:v>raised approximate per-asset strategy/risk utility by +5.9; projection +5.9 pts; forecast price change -0.4M; negative-P5 exposure -4.0; spent $3.4M more.</x:v>
      </x:c>
    </x:row>
    <x:row r="166" ht="44" customHeight="1">
      <x:c r="A166" s="101" t="str">
        <x:v>Budget Builder</x:v>
      </x:c>
      <x:c r="B166" s="101" t="str">
        <x:v>Minimal risk accepted</x:v>
      </x:c>
      <x:c r="C166" s="101" t="n">
        <x:v>2</x:v>
      </x:c>
      <x:c r="D166" s="101" t="str">
        <x:v>Chinese Grand Prix</x:v>
      </x:c>
      <x:c r="E166" s="101" t="str">
        <x:v>reconstructed</x:v>
      </x:c>
      <x:c r="F166" s="101" t="str"/>
      <x:c r="G166" s="101" t="str">
        <x:v>driver</x:v>
      </x:c>
      <x:c r="H166" s="101" t="str">
        <x:v>RUS</x:v>
      </x:c>
      <x:c r="I166" s="101" t="str">
        <x:v>ANT</x:v>
      </x:c>
      <x:c r="J166" s="102" t="n">
        <x:v>28</x:v>
      </x:c>
      <x:c r="K166" s="102" t="n">
        <x:v>23.8</x:v>
      </x:c>
      <x:c r="L166" s="102" t="n">
        <x:v>-4.2</x:v>
      </x:c>
      <x:c r="M166" s="104" t="n">
        <x:v>45.5</x:v>
      </x:c>
      <x:c r="N166" s="104" t="n">
        <x:v>48.2</x:v>
      </x:c>
      <x:c r="O166" s="104" t="n">
        <x:v>2.7</x:v>
      </x:c>
      <x:c r="P166" s="104" t="n">
        <x:v>0.3</x:v>
      </x:c>
      <x:c r="Q166" s="104" t="n">
        <x:v>0.3</x:v>
      </x:c>
      <x:c r="R166" s="104" t="n">
        <x:v>0</x:v>
      </x:c>
      <x:c r="S166" s="104" t="n">
        <x:v>19</x:v>
      </x:c>
      <x:c r="T166" s="104" t="n">
        <x:v>19</x:v>
      </x:c>
      <x:c r="U166" s="104" t="n">
        <x:v>0</x:v>
      </x:c>
      <x:c r="V166" s="104" t="n">
        <x:v>2.7</x:v>
      </x:c>
      <x:c r="W166" s="103" t="n">
        <x:v>0</x:v>
      </x:c>
      <x:c r="X166" s="105" t="str">
        <x:v>raised approximate per-asset strategy/risk utility by +2.7; projection +2.7 pts; released $4.2M; became the projected 2x captain.</x:v>
      </x:c>
    </x:row>
    <x:row r="167" ht="44" customHeight="1">
      <x:c r="A167" s="101" t="str">
        <x:v>Budget Builder</x:v>
      </x:c>
      <x:c r="B167" s="101" t="str">
        <x:v>Minimal risk accepted</x:v>
      </x:c>
      <x:c r="C167" s="101" t="n">
        <x:v>3</x:v>
      </x:c>
      <x:c r="D167" s="101" t="str">
        <x:v>Japanese Grand Prix</x:v>
      </x:c>
      <x:c r="E167" s="101" t="str">
        <x:v>reconstructed</x:v>
      </x:c>
      <x:c r="F167" s="101" t="str"/>
      <x:c r="G167" s="101" t="str">
        <x:v>driver</x:v>
      </x:c>
      <x:c r="H167" s="101" t="str">
        <x:v>ALB</x:v>
      </x:c>
      <x:c r="I167" s="101" t="str">
        <x:v>SAI</x:v>
      </x:c>
      <x:c r="J167" s="102" t="n">
        <x:v>10.8</x:v>
      </x:c>
      <x:c r="K167" s="102" t="n">
        <x:v>12.2</x:v>
      </x:c>
      <x:c r="L167" s="102" t="n">
        <x:v>1.4</x:v>
      </x:c>
      <x:c r="M167" s="104" t="n">
        <x:v>2.6</x:v>
      </x:c>
      <x:c r="N167" s="104" t="n">
        <x:v>6.2</x:v>
      </x:c>
      <x:c r="O167" s="104" t="n">
        <x:v>3.6</x:v>
      </x:c>
      <x:c r="P167" s="104" t="n">
        <x:v>-0.6</x:v>
      </x:c>
      <x:c r="Q167" s="104" t="n">
        <x:v>0.2</x:v>
      </x:c>
      <x:c r="R167" s="104" t="n">
        <x:v>0.8</x:v>
      </x:c>
      <x:c r="S167" s="104" t="n">
        <x:v>-6</x:v>
      </x:c>
      <x:c r="T167" s="104" t="n">
        <x:v>-4</x:v>
      </x:c>
      <x:c r="U167" s="104" t="n">
        <x:v>-2</x:v>
      </x:c>
      <x:c r="V167" s="104" t="n">
        <x:v>23.6</x:v>
      </x:c>
      <x:c r="W167" s="103" t="n">
        <x:v>10</x:v>
      </x:c>
      <x:c r="X167" s="105" t="str">
        <x:v>raised approximate per-asset strategy/risk utility by +23.6; projection +3.6 pts; forecast price change +0.8M; negative-P5 exposure -2.0; spent $1.4M more.</x:v>
      </x:c>
    </x:row>
    <x:row r="168" ht="44" customHeight="1">
      <x:c r="A168" s="101" t="str">
        <x:v>Budget Builder</x:v>
      </x:c>
      <x:c r="B168" s="101" t="str">
        <x:v>Minimal risk accepted</x:v>
      </x:c>
      <x:c r="C168" s="101" t="n">
        <x:v>3</x:v>
      </x:c>
      <x:c r="D168" s="101" t="str">
        <x:v>Japanese Grand Prix</x:v>
      </x:c>
      <x:c r="E168" s="101" t="str">
        <x:v>reconstructed</x:v>
      </x:c>
      <x:c r="F168" s="101" t="str"/>
      <x:c r="G168" s="101" t="str">
        <x:v>driver</x:v>
      </x:c>
      <x:c r="H168" s="101" t="str">
        <x:v>BOR</x:v>
      </x:c>
      <x:c r="I168" s="101" t="str">
        <x:v>LIN</x:v>
      </x:c>
      <x:c r="J168" s="102" t="n">
        <x:v>6.4</x:v>
      </x:c>
      <x:c r="K168" s="102" t="n">
        <x:v>7.4</x:v>
      </x:c>
      <x:c r="L168" s="102" t="n">
        <x:v>1</x:v>
      </x:c>
      <x:c r="M168" s="104" t="n">
        <x:v>8.2</x:v>
      </x:c>
      <x:c r="N168" s="104" t="n">
        <x:v>10.4</x:v>
      </x:c>
      <x:c r="O168" s="104" t="n">
        <x:v>2.2</x:v>
      </x:c>
      <x:c r="P168" s="104" t="n">
        <x:v>-0.6</x:v>
      </x:c>
      <x:c r="Q168" s="104" t="n">
        <x:v>0.6</x:v>
      </x:c>
      <x:c r="R168" s="104" t="n">
        <x:v>1.2</x:v>
      </x:c>
      <x:c r="S168" s="104" t="n">
        <x:v>-4</x:v>
      </x:c>
      <x:c r="T168" s="104" t="n">
        <x:v>-2</x:v>
      </x:c>
      <x:c r="U168" s="104" t="n">
        <x:v>-2</x:v>
      </x:c>
      <x:c r="V168" s="104" t="n">
        <x:v>30.2</x:v>
      </x:c>
      <x:c r="W168" s="103" t="n">
        <x:v>10</x:v>
      </x:c>
      <x:c r="X168" s="105" t="str">
        <x:v>raised approximate per-asset strategy/risk utility by +30.2; projection +2.2 pts; forecast price change +1.2M; negative-P5 exposure -2.0; spent $1.0M more.</x:v>
      </x:c>
    </x:row>
    <x:row r="169" ht="44" customHeight="1">
      <x:c r="A169" s="101" t="str">
        <x:v>Budget Builder</x:v>
      </x:c>
      <x:c r="B169" s="101" t="str">
        <x:v>Minimal risk accepted</x:v>
      </x:c>
      <x:c r="C169" s="101" t="n">
        <x:v>6</x:v>
      </x:c>
      <x:c r="D169" s="101" t="str">
        <x:v>Miami Grand Prix</x:v>
      </x:c>
      <x:c r="E169" s="101" t="str">
        <x:v>genuine</x:v>
      </x:c>
      <x:c r="F169" s="101" t="str">
        <x:v>wild card</x:v>
      </x:c>
      <x:c r="G169" s="101" t="str">
        <x:v>driver</x:v>
      </x:c>
      <x:c r="H169" s="101" t="str">
        <x:v>COL</x:v>
      </x:c>
      <x:c r="I169" s="101" t="str">
        <x:v>LAW</x:v>
      </x:c>
      <x:c r="J169" s="102" t="n">
        <x:v>7.6</x:v>
      </x:c>
      <x:c r="K169" s="102" t="n">
        <x:v>7.5</x:v>
      </x:c>
      <x:c r="L169" s="102" t="n">
        <x:v>-0.1</x:v>
      </x:c>
      <x:c r="M169" s="104" t="n">
        <x:v>12.2</x:v>
      </x:c>
      <x:c r="N169" s="104" t="n">
        <x:v>23.4</x:v>
      </x:c>
      <x:c r="O169" s="104" t="n">
        <x:v>11.2</x:v>
      </x:c>
      <x:c r="P169" s="104" t="n">
        <x:v>0.6</x:v>
      </x:c>
      <x:c r="Q169" s="104" t="n">
        <x:v>0.6</x:v>
      </x:c>
      <x:c r="R169" s="104" t="n">
        <x:v>0</x:v>
      </x:c>
      <x:c r="S169" s="104" t="n">
        <x:v>-5</x:v>
      </x:c>
      <x:c r="T169" s="104" t="n">
        <x:v>1</x:v>
      </x:c>
      <x:c r="U169" s="104" t="n">
        <x:v>-5</x:v>
      </x:c>
      <x:c r="V169" s="104" t="n">
        <x:v>21.2</x:v>
      </x:c>
      <x:c r="W169" s="103" t="n">
        <x:v>0</x:v>
      </x:c>
      <x:c r="X169" s="105" t="str">
        <x:v>Wild Card made the permanent rebuild free; Forecasted competitive-order change called for 4 lineup changes and a 41.0-utility improvement; this is the upgrade/order-shift proxy.; raised approximate per-asset strategy/risk utility by +21.2; projection +11.2 pts; negative-P5 exposure -5.0; released $0.1M.</x:v>
      </x:c>
    </x:row>
    <x:row r="170" ht="44" customHeight="1">
      <x:c r="A170" s="101" t="str">
        <x:v>Budget Builder</x:v>
      </x:c>
      <x:c r="B170" s="101" t="str">
        <x:v>Minimal risk accepted</x:v>
      </x:c>
      <x:c r="C170" s="101" t="n">
        <x:v>6</x:v>
      </x:c>
      <x:c r="D170" s="101" t="str">
        <x:v>Miami Grand Prix</x:v>
      </x:c>
      <x:c r="E170" s="101" t="str">
        <x:v>genuine</x:v>
      </x:c>
      <x:c r="F170" s="101" t="str">
        <x:v>wild card</x:v>
      </x:c>
      <x:c r="G170" s="101" t="str">
        <x:v>driver</x:v>
      </x:c>
      <x:c r="H170" s="101" t="str">
        <x:v>SAI</x:v>
      </x:c>
      <x:c r="I170" s="101" t="str">
        <x:v>LEC</x:v>
      </x:c>
      <x:c r="J170" s="102" t="n">
        <x:v>12.4</x:v>
      </x:c>
      <x:c r="K170" s="102" t="n">
        <x:v>23.7</x:v>
      </x:c>
      <x:c r="L170" s="102" t="n">
        <x:v>11.3</x:v>
      </x:c>
      <x:c r="M170" s="104" t="n">
        <x:v>9.8</x:v>
      </x:c>
      <x:c r="N170" s="104" t="n">
        <x:v>47.4</x:v>
      </x:c>
      <x:c r="O170" s="104" t="n">
        <x:v>37.6</x:v>
      </x:c>
      <x:c r="P170" s="104" t="n">
        <x:v>0.2</x:v>
      </x:c>
      <x:c r="Q170" s="104" t="n">
        <x:v>0.3</x:v>
      </x:c>
      <x:c r="R170" s="104" t="n">
        <x:v>0.1</x:v>
      </x:c>
      <x:c r="S170" s="104" t="n">
        <x:v>-6</x:v>
      </x:c>
      <x:c r="T170" s="104" t="n">
        <x:v>22</x:v>
      </x:c>
      <x:c r="U170" s="104" t="n">
        <x:v>-6</x:v>
      </x:c>
      <x:c r="V170" s="104" t="n">
        <x:v>51.6</x:v>
      </x:c>
      <x:c r="W170" s="103" t="n">
        <x:v>0</x:v>
      </x:c>
      <x:c r="X170" s="105" t="str">
        <x:v>Wild Card made the permanent rebuild free; Forecasted competitive-order change called for 4 lineup changes and a 41.0-utility improvement; this is the upgrade/order-shift proxy.; raised approximate per-asset strategy/risk utility by +51.6; projection +37.6 pts; forecast price change +0.1M; negative-P5 exposure -6.0; spent $11.3M more.</x:v>
      </x:c>
    </x:row>
    <x:row r="171" ht="44" customHeight="1">
      <x:c r="A171" s="101" t="str">
        <x:v>Budget Builder</x:v>
      </x:c>
      <x:c r="B171" s="101" t="str">
        <x:v>Minimal risk accepted</x:v>
      </x:c>
      <x:c r="C171" s="101" t="n">
        <x:v>6</x:v>
      </x:c>
      <x:c r="D171" s="101" t="str">
        <x:v>Miami Grand Prix</x:v>
      </x:c>
      <x:c r="E171" s="101" t="str">
        <x:v>genuine</x:v>
      </x:c>
      <x:c r="F171" s="101" t="str">
        <x:v>wild card</x:v>
      </x:c>
      <x:c r="G171" s="101" t="str">
        <x:v>constructor</x:v>
      </x:c>
      <x:c r="H171" s="101" t="str">
        <x:v>mercedes</x:v>
      </x:c>
      <x:c r="I171" s="101" t="str">
        <x:v>ferrari</x:v>
      </x:c>
      <x:c r="J171" s="102" t="n">
        <x:v>30.2</x:v>
      </x:c>
      <x:c r="K171" s="102" t="n">
        <x:v>24.2</x:v>
      </x:c>
      <x:c r="L171" s="102" t="n">
        <x:v>-6</x:v>
      </x:c>
      <x:c r="M171" s="104" t="n">
        <x:v>108.1</x:v>
      </x:c>
      <x:c r="N171" s="104" t="n">
        <x:v>99.9</x:v>
      </x:c>
      <x:c r="O171" s="104" t="n">
        <x:v>-8.2</x:v>
      </x:c>
      <x:c r="P171" s="104" t="n">
        <x:v>0.3</x:v>
      </x:c>
      <x:c r="Q171" s="104" t="n">
        <x:v>0.3</x:v>
      </x:c>
      <x:c r="R171" s="104" t="n">
        <x:v>0</x:v>
      </x:c>
      <x:c r="S171" s="104" t="n">
        <x:v>69.5</x:v>
      </x:c>
      <x:c r="T171" s="104" t="n">
        <x:v>62.5</x:v>
      </x:c>
      <x:c r="U171" s="104" t="n">
        <x:v>0</x:v>
      </x:c>
      <x:c r="V171" s="104" t="n">
        <x:v>-8.2</x:v>
      </x:c>
      <x:c r="W171" s="103" t="n">
        <x:v>0</x:v>
      </x:c>
      <x:c r="X171" s="105" t="str">
        <x:v>Wild Card made the permanent rebuild free; Forecasted competitive-order change called for 4 lineup changes and a 41.0-utility improvement; this is the upgrade/order-shift proxy.; was -8.2 utility on this explanatory pairing but enabled the higher-utility seven-asset lineup; gave up 8.2 projected pts; released $6.0M.</x:v>
      </x:c>
    </x:row>
    <x:row r="172" ht="44" customHeight="1">
      <x:c r="A172" s="101" t="str">
        <x:v>Budget Builder</x:v>
      </x:c>
      <x:c r="B172" s="101" t="str">
        <x:v>Minimal risk accepted</x:v>
      </x:c>
      <x:c r="C172" s="101" t="n">
        <x:v>6</x:v>
      </x:c>
      <x:c r="D172" s="101" t="str">
        <x:v>Miami Grand Prix</x:v>
      </x:c>
      <x:c r="E172" s="101" t="str">
        <x:v>genuine</x:v>
      </x:c>
      <x:c r="F172" s="101" t="str">
        <x:v>wild card</x:v>
      </x:c>
      <x:c r="G172" s="101" t="str">
        <x:v>constructor</x:v>
      </x:c>
      <x:c r="H172" s="101" t="str">
        <x:v>williams</x:v>
      </x:c>
      <x:c r="I172" s="101" t="str">
        <x:v>racing_bulls</x:v>
      </x:c>
      <x:c r="J172" s="102" t="n">
        <x:v>13.8</x:v>
      </x:c>
      <x:c r="K172" s="102" t="n">
        <x:v>8.1</x:v>
      </x:c>
      <x:c r="L172" s="102" t="n">
        <x:v>-5.7</x:v>
      </x:c>
      <x:c r="M172" s="104" t="n">
        <x:v>27.8</x:v>
      </x:c>
      <x:c r="N172" s="104" t="n">
        <x:v>56</x:v>
      </x:c>
      <x:c r="O172" s="104" t="n">
        <x:v>28.2</x:v>
      </x:c>
      <x:c r="P172" s="104" t="n">
        <x:v>0.6</x:v>
      </x:c>
      <x:c r="Q172" s="104" t="n">
        <x:v>0.6</x:v>
      </x:c>
      <x:c r="R172" s="104" t="n">
        <x:v>0</x:v>
      </x:c>
      <x:c r="S172" s="104" t="n">
        <x:v>2.5</x:v>
      </x:c>
      <x:c r="T172" s="104" t="n">
        <x:v>24.5</x:v>
      </x:c>
      <x:c r="U172" s="104" t="n">
        <x:v>0</x:v>
      </x:c>
      <x:c r="V172" s="104" t="n">
        <x:v>28.2</x:v>
      </x:c>
      <x:c r="W172" s="103" t="n">
        <x:v>0</x:v>
      </x:c>
      <x:c r="X172" s="105" t="str">
        <x:v>Wild Card made the permanent rebuild free; Forecasted competitive-order change called for 4 lineup changes and a 41.0-utility improvement; this is the upgrade/order-shift proxy.; raised approximate per-asset strategy/risk utility by +28.2; projection +28.2 pts; released $5.7M.</x:v>
      </x:c>
    </x:row>
    <x:row r="173" ht="44" customHeight="1">
      <x:c r="A173" s="101" t="str">
        <x:v>Budget Builder</x:v>
      </x:c>
      <x:c r="B173" s="101" t="str">
        <x:v>Minimal risk accepted</x:v>
      </x:c>
      <x:c r="C173" s="101" t="n">
        <x:v>7</x:v>
      </x:c>
      <x:c r="D173" s="101" t="str">
        <x:v>Canadian Grand Prix</x:v>
      </x:c>
      <x:c r="E173" s="101" t="str">
        <x:v>genuine</x:v>
      </x:c>
      <x:c r="F173" s="101" t="str"/>
      <x:c r="G173" s="101" t="str">
        <x:v>driver</x:v>
      </x:c>
      <x:c r="H173" s="101" t="str">
        <x:v>LAW</x:v>
      </x:c>
      <x:c r="I173" s="101" t="str">
        <x:v>COL</x:v>
      </x:c>
      <x:c r="J173" s="102" t="n">
        <x:v>8.1</x:v>
      </x:c>
      <x:c r="K173" s="102" t="n">
        <x:v>8.2</x:v>
      </x:c>
      <x:c r="L173" s="102" t="n">
        <x:v>0.1</x:v>
      </x:c>
      <x:c r="M173" s="104" t="n">
        <x:v>15.1</x:v>
      </x:c>
      <x:c r="N173" s="104" t="n">
        <x:v>15.9</x:v>
      </x:c>
      <x:c r="O173" s="104" t="n">
        <x:v>0.8</x:v>
      </x:c>
      <x:c r="P173" s="104" t="n">
        <x:v>-0.6</x:v>
      </x:c>
      <x:c r="Q173" s="104" t="n">
        <x:v>0.6</x:v>
      </x:c>
      <x:c r="R173" s="104" t="n">
        <x:v>1.2</x:v>
      </x:c>
      <x:c r="S173" s="104" t="n">
        <x:v>-16</x:v>
      </x:c>
      <x:c r="T173" s="104" t="n">
        <x:v>-6</x:v>
      </x:c>
      <x:c r="U173" s="104" t="n">
        <x:v>-10</x:v>
      </x:c>
      <x:c r="V173" s="104" t="n">
        <x:v>44.8</x:v>
      </x:c>
      <x:c r="W173" s="103" t="n">
        <x:v>0</x:v>
      </x:c>
      <x:c r="X173" s="105" t="str">
        <x:v>raised approximate per-asset strategy/risk utility by +44.8; projection +0.8 pts; forecast price change +1.2M; negative-P5 exposure -10.0; spent $0.1M more.</x:v>
      </x:c>
    </x:row>
    <x:row r="174" ht="44" customHeight="1">
      <x:c r="A174" s="101" t="str">
        <x:v>Budget Builder</x:v>
      </x:c>
      <x:c r="B174" s="101" t="str">
        <x:v>Minimal risk accepted</x:v>
      </x:c>
      <x:c r="C174" s="101" t="n">
        <x:v>7</x:v>
      </x:c>
      <x:c r="D174" s="101" t="str">
        <x:v>Canadian Grand Prix</x:v>
      </x:c>
      <x:c r="E174" s="101" t="str">
        <x:v>genuine</x:v>
      </x:c>
      <x:c r="F174" s="101" t="str"/>
      <x:c r="G174" s="101" t="str">
        <x:v>driver</x:v>
      </x:c>
      <x:c r="H174" s="101" t="str">
        <x:v>LIN</x:v>
      </x:c>
      <x:c r="I174" s="101" t="str">
        <x:v>PER</x:v>
      </x:c>
      <x:c r="J174" s="102" t="n">
        <x:v>7</x:v>
      </x:c>
      <x:c r="K174" s="102" t="n">
        <x:v>7.6</x:v>
      </x:c>
      <x:c r="L174" s="102" t="n">
        <x:v>0.6</x:v>
      </x:c>
      <x:c r="M174" s="104" t="n">
        <x:v>11.1</x:v>
      </x:c>
      <x:c r="N174" s="104" t="n">
        <x:v>12.5</x:v>
      </x:c>
      <x:c r="O174" s="104" t="n">
        <x:v>1.4</x:v>
      </x:c>
      <x:c r="P174" s="104" t="n">
        <x:v>-0.6</x:v>
      </x:c>
      <x:c r="Q174" s="104" t="n">
        <x:v>0.6</x:v>
      </x:c>
      <x:c r="R174" s="104" t="n">
        <x:v>1.2</x:v>
      </x:c>
      <x:c r="S174" s="104" t="n">
        <x:v>-6</x:v>
      </x:c>
      <x:c r="T174" s="104" t="n">
        <x:v>-13</x:v>
      </x:c>
      <x:c r="U174" s="104" t="n">
        <x:v>7</x:v>
      </x:c>
      <x:c r="V174" s="104" t="n">
        <x:v>11.4</x:v>
      </x:c>
      <x:c r="W174" s="103" t="n">
        <x:v>0</x:v>
      </x:c>
      <x:c r="X174" s="105" t="str">
        <x:v>raised approximate per-asset strategy/risk utility by +11.4; projection +1.4 pts; forecast price change +1.2M; negative-P5 exposure +7.0; spent $0.6M more.</x:v>
      </x:c>
    </x:row>
    <x:row r="175" ht="44" customHeight="1">
      <x:c r="A175" s="101" t="str">
        <x:v>Budget Builder</x:v>
      </x:c>
      <x:c r="B175" s="101" t="str">
        <x:v>Minimal risk accepted</x:v>
      </x:c>
      <x:c r="C175" s="101" t="n">
        <x:v>9</x:v>
      </x:c>
      <x:c r="D175" s="101" t="str">
        <x:v>Spanish Grand Prix</x:v>
      </x:c>
      <x:c r="E175" s="101" t="str">
        <x:v>genuine</x:v>
      </x:c>
      <x:c r="F175" s="101" t="str"/>
      <x:c r="G175" s="101" t="str">
        <x:v>driver</x:v>
      </x:c>
      <x:c r="H175" s="101" t="str">
        <x:v>LEC</x:v>
      </x:c>
      <x:c r="I175" s="101" t="str">
        <x:v>HAM</x:v>
      </x:c>
      <x:c r="J175" s="102" t="n">
        <x:v>23.8</x:v>
      </x:c>
      <x:c r="K175" s="102" t="n">
        <x:v>23.9</x:v>
      </x:c>
      <x:c r="L175" s="102" t="n">
        <x:v>0.1</x:v>
      </x:c>
      <x:c r="M175" s="104" t="n">
        <x:v>23.4</x:v>
      </x:c>
      <x:c r="N175" s="104" t="n">
        <x:v>23.1</x:v>
      </x:c>
      <x:c r="O175" s="104" t="n">
        <x:v>-0.3</x:v>
      </x:c>
      <x:c r="P175" s="104" t="n">
        <x:v>-0.3</x:v>
      </x:c>
      <x:c r="Q175" s="104" t="n">
        <x:v>0.3</x:v>
      </x:c>
      <x:c r="R175" s="104" t="n">
        <x:v>0.6</x:v>
      </x:c>
      <x:c r="S175" s="104" t="n">
        <x:v>-6</x:v>
      </x:c>
      <x:c r="T175" s="104" t="n">
        <x:v>7</x:v>
      </x:c>
      <x:c r="U175" s="104" t="n">
        <x:v>-6</x:v>
      </x:c>
      <x:c r="V175" s="104" t="n">
        <x:v>23.7</x:v>
      </x:c>
      <x:c r="W175" s="103" t="n">
        <x:v>0</x:v>
      </x:c>
      <x:c r="X175" s="105" t="str">
        <x:v>raised approximate per-asset strategy/risk utility by +23.7; gave up 0.3 projected pts; forecast price change +0.6M; negative-P5 exposure -6.0; spent $0.1M more.</x:v>
      </x:c>
    </x:row>
    <x:row r="176" ht="44" customHeight="1">
      <x:c r="A176" s="101" t="str">
        <x:v>Budget Builder</x:v>
      </x:c>
      <x:c r="B176" s="101" t="str">
        <x:v>Minimal risk accepted</x:v>
      </x:c>
      <x:c r="C176" s="101" t="n">
        <x:v>9</x:v>
      </x:c>
      <x:c r="D176" s="101" t="str">
        <x:v>Spanish Grand Prix</x:v>
      </x:c>
      <x:c r="E176" s="101" t="str">
        <x:v>genuine</x:v>
      </x:c>
      <x:c r="F176" s="101" t="str"/>
      <x:c r="G176" s="101" t="str">
        <x:v>driver</x:v>
      </x:c>
      <x:c r="H176" s="101" t="str">
        <x:v>PER</x:v>
      </x:c>
      <x:c r="I176" s="101" t="str">
        <x:v>BOR</x:v>
      </x:c>
      <x:c r="J176" s="102" t="n">
        <x:v>6.8</x:v>
      </x:c>
      <x:c r="K176" s="102" t="n">
        <x:v>5.6</x:v>
      </x:c>
      <x:c r="L176" s="102" t="n">
        <x:v>-1.2</x:v>
      </x:c>
      <x:c r="M176" s="104" t="n">
        <x:v>1.8</x:v>
      </x:c>
      <x:c r="N176" s="104" t="n">
        <x:v>5.1</x:v>
      </x:c>
      <x:c r="O176" s="104" t="n">
        <x:v>3.3</x:v>
      </x:c>
      <x:c r="P176" s="104" t="n">
        <x:v>-0.6</x:v>
      </x:c>
      <x:c r="Q176" s="104" t="n">
        <x:v>-0.2</x:v>
      </x:c>
      <x:c r="R176" s="104" t="n">
        <x:v>0.4</x:v>
      </x:c>
      <x:c r="S176" s="104" t="n">
        <x:v>-12</x:v>
      </x:c>
      <x:c r="T176" s="104" t="n">
        <x:v>-3</x:v>
      </x:c>
      <x:c r="U176" s="104" t="n">
        <x:v>-9</x:v>
      </x:c>
      <x:c r="V176" s="104" t="n">
        <x:v>29.3</x:v>
      </x:c>
      <x:c r="W176" s="103" t="n">
        <x:v>0</x:v>
      </x:c>
      <x:c r="X176" s="105" t="str">
        <x:v>raised approximate per-asset strategy/risk utility by +29.3; projection +3.3 pts; forecast price change +0.4M; negative-P5 exposure -9.0; released $1.2M.</x:v>
      </x:c>
    </x:row>
    <x:row r="177" ht="44" customHeight="1">
      <x:c r="A177" s="101" t="str">
        <x:v>Budget Builder</x:v>
      </x:c>
      <x:c r="B177" s="101" t="str">
        <x:v>Minimal risk accepted</x:v>
      </x:c>
      <x:c r="C177" s="101" t="n">
        <x:v>10</x:v>
      </x:c>
      <x:c r="D177" s="101" t="str">
        <x:v>Austrian Grand Prix</x:v>
      </x:c>
      <x:c r="E177" s="101" t="str">
        <x:v>genuine</x:v>
      </x:c>
      <x:c r="F177" s="101" t="str">
        <x:v>no negative</x:v>
      </x:c>
      <x:c r="G177" s="101" t="str">
        <x:v>driver</x:v>
      </x:c>
      <x:c r="H177" s="101" t="str">
        <x:v>ANT</x:v>
      </x:c>
      <x:c r="I177" s="101" t="str">
        <x:v>LIN</x:v>
      </x:c>
      <x:c r="J177" s="102" t="n">
        <x:v>25.3</x:v>
      </x:c>
      <x:c r="K177" s="102" t="n">
        <x:v>5.6</x:v>
      </x:c>
      <x:c r="L177" s="102" t="n">
        <x:v>-19.7</x:v>
      </x:c>
      <x:c r="M177" s="104" t="n">
        <x:v>27.7</x:v>
      </x:c>
      <x:c r="N177" s="104" t="n">
        <x:v>6.4</x:v>
      </x:c>
      <x:c r="O177" s="104" t="n">
        <x:v>-21.3</x:v>
      </x:c>
      <x:c r="P177" s="104" t="n">
        <x:v>0.1</x:v>
      </x:c>
      <x:c r="Q177" s="104" t="n">
        <x:v>0.6</x:v>
      </x:c>
      <x:c r="R177" s="104" t="n">
        <x:v>0.5</x:v>
      </x:c>
      <x:c r="S177" s="104" t="n">
        <x:v>-14.3</x:v>
      </x:c>
      <x:c r="T177" s="104" t="n">
        <x:v>-2</x:v>
      </x:c>
      <x:c r="U177" s="104" t="n">
        <x:v>-12.3</x:v>
      </x:c>
      <x:c r="V177" s="104" t="n">
        <x:v>13.3</x:v>
      </x:c>
      <x:c r="W177" s="103" t="n">
        <x:v>10</x:v>
      </x:c>
      <x:c r="X177" s="105" t="str">
        <x:v>raised approximate per-asset strategy/risk utility by +13.3; gave up 21.3 projected pts; forecast price change +0.5M; negative-P5 exposure -12.3; released $19.7M.</x:v>
      </x:c>
    </x:row>
    <x:row r="178" ht="44" customHeight="1">
      <x:c r="A178" s="101" t="str">
        <x:v>Budget Builder</x:v>
      </x:c>
      <x:c r="B178" s="101" t="str">
        <x:v>Minimal risk accepted</x:v>
      </x:c>
      <x:c r="C178" s="101" t="n">
        <x:v>10</x:v>
      </x:c>
      <x:c r="D178" s="101" t="str">
        <x:v>Austrian Grand Prix</x:v>
      </x:c>
      <x:c r="E178" s="101" t="str">
        <x:v>genuine</x:v>
      </x:c>
      <x:c r="F178" s="101" t="str">
        <x:v>no negative</x:v>
      </x:c>
      <x:c r="G178" s="101" t="str">
        <x:v>constructor</x:v>
      </x:c>
      <x:c r="H178" s="101" t="str">
        <x:v>racing_bulls</x:v>
      </x:c>
      <x:c r="I178" s="101" t="str">
        <x:v>mercedes</x:v>
      </x:c>
      <x:c r="J178" s="102" t="n">
        <x:v>10.5</x:v>
      </x:c>
      <x:c r="K178" s="102" t="n">
        <x:v>31.4</x:v>
      </x:c>
      <x:c r="L178" s="102" t="n">
        <x:v>20.9</x:v>
      </x:c>
      <x:c r="M178" s="104" t="n">
        <x:v>24.7</x:v>
      </x:c>
      <x:c r="N178" s="104" t="n">
        <x:v>77.2</x:v>
      </x:c>
      <x:c r="O178" s="104" t="n">
        <x:v>52.5</x:v>
      </x:c>
      <x:c r="P178" s="104" t="n">
        <x:v>0.6</x:v>
      </x:c>
      <x:c r="Q178" s="104" t="n">
        <x:v>0.3</x:v>
      </x:c>
      <x:c r="R178" s="104" t="n">
        <x:v>-0.3</x:v>
      </x:c>
      <x:c r="S178" s="104" t="n">
        <x:v>-4.1</x:v>
      </x:c>
      <x:c r="T178" s="104" t="n">
        <x:v>24.1</x:v>
      </x:c>
      <x:c r="U178" s="104" t="n">
        <x:v>-4.1</x:v>
      </x:c>
      <x:c r="V178" s="104" t="n">
        <x:v>54.7</x:v>
      </x:c>
      <x:c r="W178" s="103" t="n">
        <x:v>10</x:v>
      </x:c>
      <x:c r="X178" s="105" t="str">
        <x:v>raised approximate per-asset strategy/risk utility by +54.7; projection +52.5 pts; forecast price change -0.3M; negative-P5 exposure -4.1; spent $20.9M more.</x:v>
      </x:c>
    </x:row>
    <x:row r="179" ht="44" customHeight="1">
      <x:c r="A179" s="101" t="str">
        <x:v>Budget Builder</x:v>
      </x:c>
      <x:c r="B179" s="101" t="str">
        <x:v>Minimal risk accepted</x:v>
      </x:c>
      <x:c r="C179" s="101" t="n">
        <x:v>11</x:v>
      </x:c>
      <x:c r="D179" s="101" t="str">
        <x:v>British Grand Prix</x:v>
      </x:c>
      <x:c r="E179" s="101" t="str">
        <x:v>genuine</x:v>
      </x:c>
      <x:c r="F179" s="101" t="str"/>
      <x:c r="G179" s="101" t="str">
        <x:v>driver</x:v>
      </x:c>
      <x:c r="H179" s="101" t="str">
        <x:v>OCO</x:v>
      </x:c>
      <x:c r="I179" s="101" t="str">
        <x:v>VER</x:v>
      </x:c>
      <x:c r="J179" s="102" t="n">
        <x:v>10.1</x:v>
      </x:c>
      <x:c r="K179" s="102" t="n">
        <x:v>27.9</x:v>
      </x:c>
      <x:c r="L179" s="102" t="n">
        <x:v>17.8</x:v>
      </x:c>
      <x:c r="M179" s="104" t="n">
        <x:v>11.3</x:v>
      </x:c>
      <x:c r="N179" s="104" t="n">
        <x:v>34.7</x:v>
      </x:c>
      <x:c r="O179" s="104" t="n">
        <x:v>23.4</x:v>
      </x:c>
      <x:c r="P179" s="104" t="n">
        <x:v>-0.2</x:v>
      </x:c>
      <x:c r="Q179" s="104" t="n">
        <x:v>0.1</x:v>
      </x:c>
      <x:c r="R179" s="104" t="n">
        <x:v>0.3</x:v>
      </x:c>
      <x:c r="S179" s="104" t="n">
        <x:v>-10</x:v>
      </x:c>
      <x:c r="T179" s="104" t="n">
        <x:v>0</x:v>
      </x:c>
      <x:c r="U179" s="104" t="n">
        <x:v>-10</x:v>
      </x:c>
      <x:c r="V179" s="104" t="n">
        <x:v>49.4</x:v>
      </x:c>
      <x:c r="W179" s="103" t="n">
        <x:v>10</x:v>
      </x:c>
      <x:c r="X179" s="105" t="str">
        <x:v>raised approximate per-asset strategy/risk utility by +49.4; projection +23.4 pts; forecast price change +0.3M; negative-P5 exposure -10.0; spent $17.8M more; became the projected 2x captain.</x:v>
      </x:c>
    </x:row>
    <x:row r="180" ht="44" customHeight="1">
      <x:c r="A180" s="101" t="str">
        <x:v>Budget Builder</x:v>
      </x:c>
      <x:c r="B180" s="101" t="str">
        <x:v>Minimal risk accepted</x:v>
      </x:c>
      <x:c r="C180" s="101" t="n">
        <x:v>11</x:v>
      </x:c>
      <x:c r="D180" s="101" t="str">
        <x:v>British Grand Prix</x:v>
      </x:c>
      <x:c r="E180" s="101" t="str">
        <x:v>genuine</x:v>
      </x:c>
      <x:c r="F180" s="101" t="str"/>
      <x:c r="G180" s="101" t="str">
        <x:v>constructor</x:v>
      </x:c>
      <x:c r="H180" s="101" t="str">
        <x:v>mercedes</x:v>
      </x:c>
      <x:c r="I180" s="101" t="str">
        <x:v>racing_bulls</x:v>
      </x:c>
      <x:c r="J180" s="102" t="n">
        <x:v>31.7</x:v>
      </x:c>
      <x:c r="K180" s="102" t="n">
        <x:v>11.1</x:v>
      </x:c>
      <x:c r="L180" s="102" t="n">
        <x:v>-20.6</x:v>
      </x:c>
      <x:c r="M180" s="104" t="n">
        <x:v>74.7</x:v>
      </x:c>
      <x:c r="N180" s="104" t="n">
        <x:v>31</x:v>
      </x:c>
      <x:c r="O180" s="104" t="n">
        <x:v>-43.7</x:v>
      </x:c>
      <x:c r="P180" s="104" t="n">
        <x:v>0.3</x:v>
      </x:c>
      <x:c r="Q180" s="104" t="n">
        <x:v>0.6</x:v>
      </x:c>
      <x:c r="R180" s="104" t="n">
        <x:v>0.3</x:v>
      </x:c>
      <x:c r="S180" s="104" t="n">
        <x:v>28.8</x:v>
      </x:c>
      <x:c r="T180" s="104" t="n">
        <x:v>-2.2</x:v>
      </x:c>
      <x:c r="U180" s="104" t="n">
        <x:v>2.2</x:v>
      </x:c>
      <x:c r="V180" s="104" t="n">
        <x:v>-42.1</x:v>
      </x:c>
      <x:c r="W180" s="103" t="n">
        <x:v>10</x:v>
      </x:c>
      <x:c r="X180" s="105" t="str">
        <x:v>was -42.1 utility on this explanatory pairing but enabled the higher-utility seven-asset lineup; gave up 43.7 projected pts; forecast price change +0.3M; negative-P5 exposure +2.2; released $20.6M.</x:v>
      </x:c>
    </x:row>
    <x:row r="181" ht="44" customHeight="1">
      <x:c r="A181" s="101" t="str">
        <x:v>Budget Builder</x:v>
      </x:c>
      <x:c r="B181" s="101" t="str">
        <x:v>Minimal risk accepted</x:v>
      </x:c>
      <x:c r="C181" s="101" t="n">
        <x:v>12</x:v>
      </x:c>
      <x:c r="D181" s="101" t="str">
        <x:v>Belgian Grand Prix</x:v>
      </x:c>
      <x:c r="E181" s="101" t="str">
        <x:v>genuine</x:v>
      </x:c>
      <x:c r="F181" s="101" t="str">
        <x:v>autopilot</x:v>
      </x:c>
      <x:c r="G181" s="101" t="str">
        <x:v>driver</x:v>
      </x:c>
      <x:c r="H181" s="101" t="str">
        <x:v>VER</x:v>
      </x:c>
      <x:c r="I181" s="101" t="str">
        <x:v>HAD</x:v>
      </x:c>
      <x:c r="J181" s="102" t="n">
        <x:v>27.8</x:v>
      </x:c>
      <x:c r="K181" s="102" t="n">
        <x:v>13.3</x:v>
      </x:c>
      <x:c r="L181" s="102" t="n">
        <x:v>-14.5</x:v>
      </x:c>
      <x:c r="M181" s="104" t="n">
        <x:v>24.3</x:v>
      </x:c>
      <x:c r="N181" s="104" t="n">
        <x:v>33.3</x:v>
      </x:c>
      <x:c r="O181" s="104" t="n">
        <x:v>9</x:v>
      </x:c>
      <x:c r="P181" s="104" t="n">
        <x:v>-0.1</x:v>
      </x:c>
      <x:c r="Q181" s="104" t="n">
        <x:v>0.6</x:v>
      </x:c>
      <x:c r="R181" s="104" t="n">
        <x:v>0.7</x:v>
      </x:c>
      <x:c r="S181" s="104" t="n">
        <x:v>-10.5</x:v>
      </x:c>
      <x:c r="T181" s="104" t="n">
        <x:v>-14.7</x:v>
      </x:c>
      <x:c r="U181" s="104" t="n">
        <x:v>4.2</x:v>
      </x:c>
      <x:c r="V181" s="104" t="n">
        <x:v>14.6</x:v>
      </x:c>
      <x:c r="W181" s="103" t="n">
        <x:v>10</x:v>
      </x:c>
      <x:c r="X181" s="105" t="str">
        <x:v>raised approximate per-asset strategy/risk utility by +14.6; projection +9.0 pts; forecast price change +0.7M; negative-P5 exposure +4.2; released $14.5M; became the projected 2x captain.</x:v>
      </x:c>
    </x:row>
    <x:row r="182" ht="44" customHeight="1">
      <x:c r="A182" s="101" t="str">
        <x:v>Budget Builder</x:v>
      </x:c>
      <x:c r="B182" s="101" t="str">
        <x:v>Minimal risk accepted</x:v>
      </x:c>
      <x:c r="C182" s="101" t="n">
        <x:v>12</x:v>
      </x:c>
      <x:c r="D182" s="101" t="str">
        <x:v>Belgian Grand Prix</x:v>
      </x:c>
      <x:c r="E182" s="101" t="str">
        <x:v>genuine</x:v>
      </x:c>
      <x:c r="F182" s="101" t="str">
        <x:v>autopilot</x:v>
      </x:c>
      <x:c r="G182" s="101" t="str">
        <x:v>constructor</x:v>
      </x:c>
      <x:c r="H182" s="101" t="str">
        <x:v>racing_bulls</x:v>
      </x:c>
      <x:c r="I182" s="101" t="str">
        <x:v>red_bull</x:v>
      </x:c>
      <x:c r="J182" s="102" t="n">
        <x:v>11.7</x:v>
      </x:c>
      <x:c r="K182" s="102" t="n">
        <x:v>30.3</x:v>
      </x:c>
      <x:c r="L182" s="102" t="n">
        <x:v>18.6</x:v>
      </x:c>
      <x:c r="M182" s="104" t="n">
        <x:v>16.4</x:v>
      </x:c>
      <x:c r="N182" s="104" t="n">
        <x:v>68.4</x:v>
      </x:c>
      <x:c r="O182" s="104" t="n">
        <x:v>52</x:v>
      </x:c>
      <x:c r="P182" s="104" t="n">
        <x:v>0.6</x:v>
      </x:c>
      <x:c r="Q182" s="104" t="n">
        <x:v>0.3</x:v>
      </x:c>
      <x:c r="R182" s="104" t="n">
        <x:v>-0.3</x:v>
      </x:c>
      <x:c r="S182" s="104" t="n">
        <x:v>-6.4</x:v>
      </x:c>
      <x:c r="T182" s="104" t="n">
        <x:v>12.9</x:v>
      </x:c>
      <x:c r="U182" s="104" t="n">
        <x:v>-6.4</x:v>
      </x:c>
      <x:c r="V182" s="104" t="n">
        <x:v>58.8</x:v>
      </x:c>
      <x:c r="W182" s="103" t="n">
        <x:v>10</x:v>
      </x:c>
      <x:c r="X182" s="105" t="str">
        <x:v>raised approximate per-asset strategy/risk utility by +58.8; projection +52.0 pts; forecast price change -0.3M; negative-P5 exposure -6.4; spent $18.6M more.</x:v>
      </x:c>
    </x:row>
    <x:row r="183" ht="44" customHeight="1">
      <x:c r="A183" s="101" t="str">
        <x:v>Budget Builder</x:v>
      </x:c>
      <x:c r="B183" s="101" t="str">
        <x:v>Minimal risk accepted</x:v>
      </x:c>
      <x:c r="C183" s="101" t="n">
        <x:v>13</x:v>
      </x:c>
      <x:c r="D183" s="101" t="str">
        <x:v>Hungarian Grand Prix</x:v>
      </x:c>
      <x:c r="E183" s="101" t="str">
        <x:v>genuine</x:v>
      </x:c>
      <x:c r="F183" s="101" t="str"/>
      <x:c r="G183" s="101" t="str">
        <x:v>constructor</x:v>
      </x:c>
      <x:c r="H183" s="101" t="str">
        <x:v>red_bull</x:v>
      </x:c>
      <x:c r="I183" s="101" t="str">
        <x:v>mclaren</x:v>
      </x:c>
      <x:c r="J183" s="102" t="n">
        <x:v>30.6</x:v>
      </x:c>
      <x:c r="K183" s="102" t="n">
        <x:v>30.7</x:v>
      </x:c>
      <x:c r="L183" s="102" t="n">
        <x:v>0.1</x:v>
      </x:c>
      <x:c r="M183" s="104" t="n">
        <x:v>31.1</x:v>
      </x:c>
      <x:c r="N183" s="104" t="n">
        <x:v>51.8</x:v>
      </x:c>
      <x:c r="O183" s="104" t="n">
        <x:v>20.7</x:v>
      </x:c>
      <x:c r="P183" s="104" t="n">
        <x:v>0.3</x:v>
      </x:c>
      <x:c r="Q183" s="104" t="n">
        <x:v>0.3</x:v>
      </x:c>
      <x:c r="R183" s="104" t="n">
        <x:v>0</x:v>
      </x:c>
      <x:c r="S183" s="104" t="n">
        <x:v>2.5</x:v>
      </x:c>
      <x:c r="T183" s="104" t="n">
        <x:v>15.3</x:v>
      </x:c>
      <x:c r="U183" s="104" t="n">
        <x:v>0</x:v>
      </x:c>
      <x:c r="V183" s="104" t="n">
        <x:v>20.7</x:v>
      </x:c>
      <x:c r="W183" s="103" t="n">
        <x:v>0</x:v>
      </x:c>
      <x:c r="X183" s="105" t="str">
        <x:v>raised approximate per-asset strategy/risk utility by +20.7; projection +20.7 pts; spent $0.1M more.</x:v>
      </x:c>
    </x:row>
    <x:row r="184" ht="44" customHeight="1">
      <x:c r="A184" s="101" t="str">
        <x:v>Budget Builder</x:v>
      </x:c>
      <x:c r="B184" s="101" t="str">
        <x:v>Medium tolerance</x:v>
      </x:c>
      <x:c r="C184" s="101" t="n">
        <x:v>2</x:v>
      </x:c>
      <x:c r="D184" s="101" t="str">
        <x:v>Chinese Grand Prix</x:v>
      </x:c>
      <x:c r="E184" s="101" t="str">
        <x:v>reconstructed</x:v>
      </x:c>
      <x:c r="F184" s="101" t="str"/>
      <x:c r="G184" s="101" t="str">
        <x:v>driver</x:v>
      </x:c>
      <x:c r="H184" s="101" t="str">
        <x:v>RUS</x:v>
      </x:c>
      <x:c r="I184" s="101" t="str">
        <x:v>ANT</x:v>
      </x:c>
      <x:c r="J184" s="102" t="n">
        <x:v>28</x:v>
      </x:c>
      <x:c r="K184" s="102" t="n">
        <x:v>23.8</x:v>
      </x:c>
      <x:c r="L184" s="102" t="n">
        <x:v>-4.2</x:v>
      </x:c>
      <x:c r="M184" s="104" t="n">
        <x:v>45.5</x:v>
      </x:c>
      <x:c r="N184" s="104" t="n">
        <x:v>48.2</x:v>
      </x:c>
      <x:c r="O184" s="104" t="n">
        <x:v>2.7</x:v>
      </x:c>
      <x:c r="P184" s="104" t="n">
        <x:v>0.3</x:v>
      </x:c>
      <x:c r="Q184" s="104" t="n">
        <x:v>0.3</x:v>
      </x:c>
      <x:c r="R184" s="104" t="n">
        <x:v>0</x:v>
      </x:c>
      <x:c r="S184" s="104" t="n">
        <x:v>19</x:v>
      </x:c>
      <x:c r="T184" s="104" t="n">
        <x:v>19</x:v>
      </x:c>
      <x:c r="U184" s="104" t="n">
        <x:v>0</x:v>
      </x:c>
      <x:c r="V184" s="104" t="n">
        <x:v>2.7</x:v>
      </x:c>
      <x:c r="W184" s="103" t="n">
        <x:v>0</x:v>
      </x:c>
      <x:c r="X184" s="105" t="str">
        <x:v>raised approximate per-asset strategy/risk utility by +2.7; projection +2.7 pts; released $4.2M; became the projected 2x captain.</x:v>
      </x:c>
    </x:row>
    <x:row r="185" ht="44" customHeight="1">
      <x:c r="A185" s="101" t="str">
        <x:v>Budget Builder</x:v>
      </x:c>
      <x:c r="B185" s="101" t="str">
        <x:v>Medium tolerance</x:v>
      </x:c>
      <x:c r="C185" s="101" t="n">
        <x:v>2</x:v>
      </x:c>
      <x:c r="D185" s="101" t="str">
        <x:v>Chinese Grand Prix</x:v>
      </x:c>
      <x:c r="E185" s="101" t="str">
        <x:v>reconstructed</x:v>
      </x:c>
      <x:c r="F185" s="101" t="str"/>
      <x:c r="G185" s="101" t="str">
        <x:v>constructor</x:v>
      </x:c>
      <x:c r="H185" s="101" t="str">
        <x:v>haas</x:v>
      </x:c>
      <x:c r="I185" s="101" t="str">
        <x:v>alpine</x:v>
      </x:c>
      <x:c r="J185" s="102" t="n">
        <x:v>8.6</x:v>
      </x:c>
      <x:c r="K185" s="102" t="n">
        <x:v>13.7</x:v>
      </x:c>
      <x:c r="L185" s="102" t="n">
        <x:v>5.1</x:v>
      </x:c>
      <x:c r="M185" s="104" t="n">
        <x:v>39</x:v>
      </x:c>
      <x:c r="N185" s="104" t="n">
        <x:v>41.9</x:v>
      </x:c>
      <x:c r="O185" s="104" t="n">
        <x:v>2.9</x:v>
      </x:c>
      <x:c r="P185" s="104" t="n">
        <x:v>0.6</x:v>
      </x:c>
      <x:c r="Q185" s="104" t="n">
        <x:v>0.6</x:v>
      </x:c>
      <x:c r="R185" s="104" t="n">
        <x:v>0</x:v>
      </x:c>
      <x:c r="S185" s="104" t="n">
        <x:v>1.5</x:v>
      </x:c>
      <x:c r="T185" s="104" t="n">
        <x:v>-1.5</x:v>
      </x:c>
      <x:c r="U185" s="104" t="n">
        <x:v>1.5</x:v>
      </x:c>
      <x:c r="V185" s="104" t="n">
        <x:v>1.77</x:v>
      </x:c>
      <x:c r="W185" s="103" t="n">
        <x:v>0</x:v>
      </x:c>
      <x:c r="X185" s="105" t="str">
        <x:v>raised approximate per-asset strategy/risk utility by +1.8; projection +2.9 pts; negative-P5 exposure +1.5; spent $5.1M more.</x:v>
      </x:c>
    </x:row>
    <x:row r="186" ht="44" customHeight="1">
      <x:c r="A186" s="101" t="str">
        <x:v>Budget Builder</x:v>
      </x:c>
      <x:c r="B186" s="101" t="str">
        <x:v>Medium tolerance</x:v>
      </x:c>
      <x:c r="C186" s="101" t="n">
        <x:v>3</x:v>
      </x:c>
      <x:c r="D186" s="101" t="str">
        <x:v>Japanese Grand Prix</x:v>
      </x:c>
      <x:c r="E186" s="101" t="str">
        <x:v>reconstructed</x:v>
      </x:c>
      <x:c r="F186" s="101" t="str"/>
      <x:c r="G186" s="101" t="str">
        <x:v>driver</x:v>
      </x:c>
      <x:c r="H186" s="101" t="str">
        <x:v>BOR</x:v>
      </x:c>
      <x:c r="I186" s="101" t="str">
        <x:v>SAI</x:v>
      </x:c>
      <x:c r="J186" s="102" t="n">
        <x:v>6.4</x:v>
      </x:c>
      <x:c r="K186" s="102" t="n">
        <x:v>12.2</x:v>
      </x:c>
      <x:c r="L186" s="102" t="n">
        <x:v>5.8</x:v>
      </x:c>
      <x:c r="M186" s="104" t="n">
        <x:v>8.2</x:v>
      </x:c>
      <x:c r="N186" s="104" t="n">
        <x:v>6.2</x:v>
      </x:c>
      <x:c r="O186" s="104" t="n">
        <x:v>-2</x:v>
      </x:c>
      <x:c r="P186" s="104" t="n">
        <x:v>-0.6</x:v>
      </x:c>
      <x:c r="Q186" s="104" t="n">
        <x:v>0.2</x:v>
      </x:c>
      <x:c r="R186" s="104" t="n">
        <x:v>0.8</x:v>
      </x:c>
      <x:c r="S186" s="104" t="n">
        <x:v>-4</x:v>
      </x:c>
      <x:c r="T186" s="104" t="n">
        <x:v>-4</x:v>
      </x:c>
      <x:c r="U186" s="104" t="n">
        <x:v>0</x:v>
      </x:c>
      <x:c r="V186" s="104" t="n">
        <x:v>14</x:v>
      </x:c>
      <x:c r="W186" s="103" t="n">
        <x:v>0</x:v>
      </x:c>
      <x:c r="X186" s="105" t="str">
        <x:v>raised approximate per-asset strategy/risk utility by +14.0; gave up 2.0 projected pts; forecast price change +0.8M; spent $5.8M more.</x:v>
      </x:c>
    </x:row>
    <x:row r="187" ht="44" customHeight="1">
      <x:c r="A187" s="101" t="str">
        <x:v>Budget Builder</x:v>
      </x:c>
      <x:c r="B187" s="101" t="str">
        <x:v>Medium tolerance</x:v>
      </x:c>
      <x:c r="C187" s="101" t="n">
        <x:v>6</x:v>
      </x:c>
      <x:c r="D187" s="101" t="str">
        <x:v>Miami Grand Prix</x:v>
      </x:c>
      <x:c r="E187" s="101" t="str">
        <x:v>genuine</x:v>
      </x:c>
      <x:c r="F187" s="101" t="str">
        <x:v>wild card</x:v>
      </x:c>
      <x:c r="G187" s="101" t="str">
        <x:v>driver</x:v>
      </x:c>
      <x:c r="H187" s="101" t="str">
        <x:v>COL</x:v>
      </x:c>
      <x:c r="I187" s="101" t="str">
        <x:v>LAW</x:v>
      </x:c>
      <x:c r="J187" s="102" t="n">
        <x:v>7.6</x:v>
      </x:c>
      <x:c r="K187" s="102" t="n">
        <x:v>7.5</x:v>
      </x:c>
      <x:c r="L187" s="102" t="n">
        <x:v>-0.1</x:v>
      </x:c>
      <x:c r="M187" s="104" t="n">
        <x:v>12.2</x:v>
      </x:c>
      <x:c r="N187" s="104" t="n">
        <x:v>23.4</x:v>
      </x:c>
      <x:c r="O187" s="104" t="n">
        <x:v>11.2</x:v>
      </x:c>
      <x:c r="P187" s="104" t="n">
        <x:v>0.6</x:v>
      </x:c>
      <x:c r="Q187" s="104" t="n">
        <x:v>0.6</x:v>
      </x:c>
      <x:c r="R187" s="104" t="n">
        <x:v>0</x:v>
      </x:c>
      <x:c r="S187" s="104" t="n">
        <x:v>-5</x:v>
      </x:c>
      <x:c r="T187" s="104" t="n">
        <x:v>1</x:v>
      </x:c>
      <x:c r="U187" s="104" t="n">
        <x:v>-5</x:v>
      </x:c>
      <x:c r="V187" s="104" t="n">
        <x:v>14.95</x:v>
      </x:c>
      <x:c r="W187" s="103" t="n">
        <x:v>0</x:v>
      </x:c>
      <x:c r="X187" s="105" t="str">
        <x:v>Wild Card made the permanent rebuild free; Forecasted competitive-order change called for 4 lineup changes and a 34.8-utility improvement; this is the upgrade/order-shift proxy.; raised approximate per-asset strategy/risk utility by +14.9; projection +11.2 pts; negative-P5 exposure -5.0; released $0.1M.</x:v>
      </x:c>
    </x:row>
    <x:row r="188" ht="44" customHeight="1">
      <x:c r="A188" s="101" t="str">
        <x:v>Budget Builder</x:v>
      </x:c>
      <x:c r="B188" s="101" t="str">
        <x:v>Medium tolerance</x:v>
      </x:c>
      <x:c r="C188" s="101" t="n">
        <x:v>6</x:v>
      </x:c>
      <x:c r="D188" s="101" t="str">
        <x:v>Miami Grand Prix</x:v>
      </x:c>
      <x:c r="E188" s="101" t="str">
        <x:v>genuine</x:v>
      </x:c>
      <x:c r="F188" s="101" t="str">
        <x:v>wild card</x:v>
      </x:c>
      <x:c r="G188" s="101" t="str">
        <x:v>driver</x:v>
      </x:c>
      <x:c r="H188" s="101" t="str">
        <x:v>SAI</x:v>
      </x:c>
      <x:c r="I188" s="101" t="str">
        <x:v>LEC</x:v>
      </x:c>
      <x:c r="J188" s="102" t="n">
        <x:v>12.4</x:v>
      </x:c>
      <x:c r="K188" s="102" t="n">
        <x:v>23.7</x:v>
      </x:c>
      <x:c r="L188" s="102" t="n">
        <x:v>11.3</x:v>
      </x:c>
      <x:c r="M188" s="104" t="n">
        <x:v>9.8</x:v>
      </x:c>
      <x:c r="N188" s="104" t="n">
        <x:v>47.4</x:v>
      </x:c>
      <x:c r="O188" s="104" t="n">
        <x:v>37.6</x:v>
      </x:c>
      <x:c r="P188" s="104" t="n">
        <x:v>0.2</x:v>
      </x:c>
      <x:c r="Q188" s="104" t="n">
        <x:v>0.3</x:v>
      </x:c>
      <x:c r="R188" s="104" t="n">
        <x:v>0.1</x:v>
      </x:c>
      <x:c r="S188" s="104" t="n">
        <x:v>-6</x:v>
      </x:c>
      <x:c r="T188" s="104" t="n">
        <x:v>22</x:v>
      </x:c>
      <x:c r="U188" s="104" t="n">
        <x:v>-6</x:v>
      </x:c>
      <x:c r="V188" s="104" t="n">
        <x:v>44.1</x:v>
      </x:c>
      <x:c r="W188" s="103" t="n">
        <x:v>0</x:v>
      </x:c>
      <x:c r="X188" s="105" t="str">
        <x:v>Wild Card made the permanent rebuild free; Forecasted competitive-order change called for 4 lineup changes and a 34.8-utility improvement; this is the upgrade/order-shift proxy.; raised approximate per-asset strategy/risk utility by +44.1; projection +37.6 pts; forecast price change +0.1M; negative-P5 exposure -6.0; spent $11.3M more.</x:v>
      </x:c>
    </x:row>
    <x:row r="189" ht="44" customHeight="1">
      <x:c r="A189" s="101" t="str">
        <x:v>Budget Builder</x:v>
      </x:c>
      <x:c r="B189" s="101" t="str">
        <x:v>Medium tolerance</x:v>
      </x:c>
      <x:c r="C189" s="101" t="n">
        <x:v>6</x:v>
      </x:c>
      <x:c r="D189" s="101" t="str">
        <x:v>Miami Grand Prix</x:v>
      </x:c>
      <x:c r="E189" s="101" t="str">
        <x:v>genuine</x:v>
      </x:c>
      <x:c r="F189" s="101" t="str">
        <x:v>wild card</x:v>
      </x:c>
      <x:c r="G189" s="101" t="str">
        <x:v>constructor</x:v>
      </x:c>
      <x:c r="H189" s="101" t="str">
        <x:v>alpine</x:v>
      </x:c>
      <x:c r="I189" s="101" t="str">
        <x:v>racing_bulls</x:v>
      </x:c>
      <x:c r="J189" s="102" t="n">
        <x:v>14.3</x:v>
      </x:c>
      <x:c r="K189" s="102" t="n">
        <x:v>8.1</x:v>
      </x:c>
      <x:c r="L189" s="102" t="n">
        <x:v>-6.2</x:v>
      </x:c>
      <x:c r="M189" s="104" t="n">
        <x:v>44.2</x:v>
      </x:c>
      <x:c r="N189" s="104" t="n">
        <x:v>56</x:v>
      </x:c>
      <x:c r="O189" s="104" t="n">
        <x:v>11.8</x:v>
      </x:c>
      <x:c r="P189" s="104" t="n">
        <x:v>0.6</x:v>
      </x:c>
      <x:c r="Q189" s="104" t="n">
        <x:v>0.6</x:v>
      </x:c>
      <x:c r="R189" s="104" t="n">
        <x:v>0</x:v>
      </x:c>
      <x:c r="S189" s="104" t="n">
        <x:v>16.5</x:v>
      </x:c>
      <x:c r="T189" s="104" t="n">
        <x:v>24.5</x:v>
      </x:c>
      <x:c r="U189" s="104" t="n">
        <x:v>0</x:v>
      </x:c>
      <x:c r="V189" s="104" t="n">
        <x:v>11.8</x:v>
      </x:c>
      <x:c r="W189" s="103" t="n">
        <x:v>0</x:v>
      </x:c>
      <x:c r="X189" s="105" t="str">
        <x:v>Wild Card made the permanent rebuild free; Forecasted competitive-order change called for 4 lineup changes and a 34.8-utility improvement; this is the upgrade/order-shift proxy.; raised approximate per-asset strategy/risk utility by +11.8; projection +11.8 pts; released $6.2M.</x:v>
      </x:c>
    </x:row>
    <x:row r="190" ht="44" customHeight="1">
      <x:c r="A190" s="101" t="str">
        <x:v>Budget Builder</x:v>
      </x:c>
      <x:c r="B190" s="101" t="str">
        <x:v>Medium tolerance</x:v>
      </x:c>
      <x:c r="C190" s="101" t="n">
        <x:v>6</x:v>
      </x:c>
      <x:c r="D190" s="101" t="str">
        <x:v>Miami Grand Prix</x:v>
      </x:c>
      <x:c r="E190" s="101" t="str">
        <x:v>genuine</x:v>
      </x:c>
      <x:c r="F190" s="101" t="str">
        <x:v>wild card</x:v>
      </x:c>
      <x:c r="G190" s="101" t="str">
        <x:v>constructor</x:v>
      </x:c>
      <x:c r="H190" s="101" t="str">
        <x:v>mercedes</x:v>
      </x:c>
      <x:c r="I190" s="101" t="str">
        <x:v>ferrari</x:v>
      </x:c>
      <x:c r="J190" s="102" t="n">
        <x:v>30.2</x:v>
      </x:c>
      <x:c r="K190" s="102" t="n">
        <x:v>24.2</x:v>
      </x:c>
      <x:c r="L190" s="102" t="n">
        <x:v>-6</x:v>
      </x:c>
      <x:c r="M190" s="104" t="n">
        <x:v>108.1</x:v>
      </x:c>
      <x:c r="N190" s="104" t="n">
        <x:v>99.9</x:v>
      </x:c>
      <x:c r="O190" s="104" t="n">
        <x:v>-8.2</x:v>
      </x:c>
      <x:c r="P190" s="104" t="n">
        <x:v>0.3</x:v>
      </x:c>
      <x:c r="Q190" s="104" t="n">
        <x:v>0.3</x:v>
      </x:c>
      <x:c r="R190" s="104" t="n">
        <x:v>0</x:v>
      </x:c>
      <x:c r="S190" s="104" t="n">
        <x:v>69.5</x:v>
      </x:c>
      <x:c r="T190" s="104" t="n">
        <x:v>62.5</x:v>
      </x:c>
      <x:c r="U190" s="104" t="n">
        <x:v>0</x:v>
      </x:c>
      <x:c r="V190" s="104" t="n">
        <x:v>-8.2</x:v>
      </x:c>
      <x:c r="W190" s="103" t="n">
        <x:v>0</x:v>
      </x:c>
      <x:c r="X190" s="105" t="str">
        <x:v>Wild Card made the permanent rebuild free; Forecasted competitive-order change called for 4 lineup changes and a 34.8-utility improvement; this is the upgrade/order-shift proxy.; was -8.2 utility on this explanatory pairing but enabled the higher-utility seven-asset lineup; gave up 8.2 projected pts; released $6.0M.</x:v>
      </x:c>
    </x:row>
    <x:row r="191" ht="44" customHeight="1">
      <x:c r="A191" s="101" t="str">
        <x:v>Budget Builder</x:v>
      </x:c>
      <x:c r="B191" s="101" t="str">
        <x:v>Medium tolerance</x:v>
      </x:c>
      <x:c r="C191" s="101" t="n">
        <x:v>7</x:v>
      </x:c>
      <x:c r="D191" s="101" t="str">
        <x:v>Canadian Grand Prix</x:v>
      </x:c>
      <x:c r="E191" s="101" t="str">
        <x:v>genuine</x:v>
      </x:c>
      <x:c r="F191" s="101" t="str"/>
      <x:c r="G191" s="101" t="str">
        <x:v>driver</x:v>
      </x:c>
      <x:c r="H191" s="101" t="str">
        <x:v>LAW</x:v>
      </x:c>
      <x:c r="I191" s="101" t="str">
        <x:v>COL</x:v>
      </x:c>
      <x:c r="J191" s="102" t="n">
        <x:v>8.1</x:v>
      </x:c>
      <x:c r="K191" s="102" t="n">
        <x:v>8.2</x:v>
      </x:c>
      <x:c r="L191" s="102" t="n">
        <x:v>0.1</x:v>
      </x:c>
      <x:c r="M191" s="104" t="n">
        <x:v>15.1</x:v>
      </x:c>
      <x:c r="N191" s="104" t="n">
        <x:v>15.9</x:v>
      </x:c>
      <x:c r="O191" s="104" t="n">
        <x:v>0.8</x:v>
      </x:c>
      <x:c r="P191" s="104" t="n">
        <x:v>-0.6</x:v>
      </x:c>
      <x:c r="Q191" s="104" t="n">
        <x:v>0.6</x:v>
      </x:c>
      <x:c r="R191" s="104" t="n">
        <x:v>1.2</x:v>
      </x:c>
      <x:c r="S191" s="104" t="n">
        <x:v>-16</x:v>
      </x:c>
      <x:c r="T191" s="104" t="n">
        <x:v>-6</x:v>
      </x:c>
      <x:c r="U191" s="104" t="n">
        <x:v>-10</x:v>
      </x:c>
      <x:c r="V191" s="104" t="n">
        <x:v>32.3</x:v>
      </x:c>
      <x:c r="W191" s="103" t="n">
        <x:v>0</x:v>
      </x:c>
      <x:c r="X191" s="105" t="str">
        <x:v>raised approximate per-asset strategy/risk utility by +32.3; projection +0.8 pts; forecast price change +1.2M; negative-P5 exposure -10.0; spent $0.1M more.</x:v>
      </x:c>
    </x:row>
    <x:row r="192" ht="44" customHeight="1">
      <x:c r="A192" s="101" t="str">
        <x:v>Budget Builder</x:v>
      </x:c>
      <x:c r="B192" s="101" t="str">
        <x:v>Medium tolerance</x:v>
      </x:c>
      <x:c r="C192" s="101" t="n">
        <x:v>7</x:v>
      </x:c>
      <x:c r="D192" s="101" t="str">
        <x:v>Canadian Grand Prix</x:v>
      </x:c>
      <x:c r="E192" s="101" t="str">
        <x:v>genuine</x:v>
      </x:c>
      <x:c r="F192" s="101" t="str"/>
      <x:c r="G192" s="101" t="str">
        <x:v>driver</x:v>
      </x:c>
      <x:c r="H192" s="101" t="str">
        <x:v>LIN</x:v>
      </x:c>
      <x:c r="I192" s="101" t="str">
        <x:v>PER</x:v>
      </x:c>
      <x:c r="J192" s="102" t="n">
        <x:v>7</x:v>
      </x:c>
      <x:c r="K192" s="102" t="n">
        <x:v>7.6</x:v>
      </x:c>
      <x:c r="L192" s="102" t="n">
        <x:v>0.6</x:v>
      </x:c>
      <x:c r="M192" s="104" t="n">
        <x:v>11.1</x:v>
      </x:c>
      <x:c r="N192" s="104" t="n">
        <x:v>12.5</x:v>
      </x:c>
      <x:c r="O192" s="104" t="n">
        <x:v>1.4</x:v>
      </x:c>
      <x:c r="P192" s="104" t="n">
        <x:v>-0.6</x:v>
      </x:c>
      <x:c r="Q192" s="104" t="n">
        <x:v>0.6</x:v>
      </x:c>
      <x:c r="R192" s="104" t="n">
        <x:v>1.2</x:v>
      </x:c>
      <x:c r="S192" s="104" t="n">
        <x:v>-6</x:v>
      </x:c>
      <x:c r="T192" s="104" t="n">
        <x:v>-13</x:v>
      </x:c>
      <x:c r="U192" s="104" t="n">
        <x:v>7</x:v>
      </x:c>
      <x:c r="V192" s="104" t="n">
        <x:v>20.15</x:v>
      </x:c>
      <x:c r="W192" s="103" t="n">
        <x:v>0</x:v>
      </x:c>
      <x:c r="X192" s="105" t="str">
        <x:v>raised approximate per-asset strategy/risk utility by +20.1; projection +1.4 pts; forecast price change +1.2M; negative-P5 exposure +7.0; spent $0.6M more.</x:v>
      </x:c>
    </x:row>
    <x:row r="193" ht="44" customHeight="1">
      <x:c r="A193" s="101" t="str">
        <x:v>Budget Builder</x:v>
      </x:c>
      <x:c r="B193" s="101" t="str">
        <x:v>Medium tolerance</x:v>
      </x:c>
      <x:c r="C193" s="101" t="n">
        <x:v>9</x:v>
      </x:c>
      <x:c r="D193" s="101" t="str">
        <x:v>Spanish Grand Prix</x:v>
      </x:c>
      <x:c r="E193" s="101" t="str">
        <x:v>genuine</x:v>
      </x:c>
      <x:c r="F193" s="101" t="str"/>
      <x:c r="G193" s="101" t="str">
        <x:v>driver</x:v>
      </x:c>
      <x:c r="H193" s="101" t="str">
        <x:v>LEC</x:v>
      </x:c>
      <x:c r="I193" s="101" t="str">
        <x:v>HAM</x:v>
      </x:c>
      <x:c r="J193" s="102" t="n">
        <x:v>23.8</x:v>
      </x:c>
      <x:c r="K193" s="102" t="n">
        <x:v>23.9</x:v>
      </x:c>
      <x:c r="L193" s="102" t="n">
        <x:v>0.1</x:v>
      </x:c>
      <x:c r="M193" s="104" t="n">
        <x:v>23.4</x:v>
      </x:c>
      <x:c r="N193" s="104" t="n">
        <x:v>23.1</x:v>
      </x:c>
      <x:c r="O193" s="104" t="n">
        <x:v>-0.3</x:v>
      </x:c>
      <x:c r="P193" s="104" t="n">
        <x:v>-0.3</x:v>
      </x:c>
      <x:c r="Q193" s="104" t="n">
        <x:v>0.3</x:v>
      </x:c>
      <x:c r="R193" s="104" t="n">
        <x:v>0.6</x:v>
      </x:c>
      <x:c r="S193" s="104" t="n">
        <x:v>-6</x:v>
      </x:c>
      <x:c r="T193" s="104" t="n">
        <x:v>7</x:v>
      </x:c>
      <x:c r="U193" s="104" t="n">
        <x:v>-6</x:v>
      </x:c>
      <x:c r="V193" s="104" t="n">
        <x:v>16.2</x:v>
      </x:c>
      <x:c r="W193" s="103" t="n">
        <x:v>0</x:v>
      </x:c>
      <x:c r="X193" s="105" t="str">
        <x:v>raised approximate per-asset strategy/risk utility by +16.2; gave up 0.3 projected pts; forecast price change +0.6M; negative-P5 exposure -6.0; spent $0.1M more.</x:v>
      </x:c>
    </x:row>
    <x:row r="194" ht="44" customHeight="1">
      <x:c r="A194" s="101" t="str">
        <x:v>Budget Builder</x:v>
      </x:c>
      <x:c r="B194" s="101" t="str">
        <x:v>Medium tolerance</x:v>
      </x:c>
      <x:c r="C194" s="101" t="n">
        <x:v>9</x:v>
      </x:c>
      <x:c r="D194" s="101" t="str">
        <x:v>Spanish Grand Prix</x:v>
      </x:c>
      <x:c r="E194" s="101" t="str">
        <x:v>genuine</x:v>
      </x:c>
      <x:c r="F194" s="101" t="str"/>
      <x:c r="G194" s="101" t="str">
        <x:v>driver</x:v>
      </x:c>
      <x:c r="H194" s="101" t="str">
        <x:v>PER</x:v>
      </x:c>
      <x:c r="I194" s="101" t="str">
        <x:v>BOR</x:v>
      </x:c>
      <x:c r="J194" s="102" t="n">
        <x:v>6.8</x:v>
      </x:c>
      <x:c r="K194" s="102" t="n">
        <x:v>5.6</x:v>
      </x:c>
      <x:c r="L194" s="102" t="n">
        <x:v>-1.2</x:v>
      </x:c>
      <x:c r="M194" s="104" t="n">
        <x:v>1.8</x:v>
      </x:c>
      <x:c r="N194" s="104" t="n">
        <x:v>5.1</x:v>
      </x:c>
      <x:c r="O194" s="104" t="n">
        <x:v>3.3</x:v>
      </x:c>
      <x:c r="P194" s="104" t="n">
        <x:v>-0.6</x:v>
      </x:c>
      <x:c r="Q194" s="104" t="n">
        <x:v>-0.2</x:v>
      </x:c>
      <x:c r="R194" s="104" t="n">
        <x:v>0.4</x:v>
      </x:c>
      <x:c r="S194" s="104" t="n">
        <x:v>-12</x:v>
      </x:c>
      <x:c r="T194" s="104" t="n">
        <x:v>-3</x:v>
      </x:c>
      <x:c r="U194" s="104" t="n">
        <x:v>-9</x:v>
      </x:c>
      <x:c r="V194" s="104" t="n">
        <x:v>18.05</x:v>
      </x:c>
      <x:c r="W194" s="103" t="n">
        <x:v>0</x:v>
      </x:c>
      <x:c r="X194" s="105" t="str">
        <x:v>raised approximate per-asset strategy/risk utility by +18.1; projection +3.3 pts; forecast price change +0.4M; negative-P5 exposure -9.0; released $1.2M.</x:v>
      </x:c>
    </x:row>
    <x:row r="195" ht="44" customHeight="1">
      <x:c r="A195" s="101" t="str">
        <x:v>Budget Builder</x:v>
      </x:c>
      <x:c r="B195" s="101" t="str">
        <x:v>Medium tolerance</x:v>
      </x:c>
      <x:c r="C195" s="101" t="n">
        <x:v>10</x:v>
      </x:c>
      <x:c r="D195" s="101" t="str">
        <x:v>Austrian Grand Prix</x:v>
      </x:c>
      <x:c r="E195" s="101" t="str">
        <x:v>genuine</x:v>
      </x:c>
      <x:c r="F195" s="101" t="str">
        <x:v>no negative</x:v>
      </x:c>
      <x:c r="G195" s="101" t="str">
        <x:v>driver</x:v>
      </x:c>
      <x:c r="H195" s="101" t="str">
        <x:v>COL</x:v>
      </x:c>
      <x:c r="I195" s="101" t="str">
        <x:v>LIN</x:v>
      </x:c>
      <x:c r="J195" s="102" t="n">
        <x:v>10</x:v>
      </x:c>
      <x:c r="K195" s="102" t="n">
        <x:v>5.6</x:v>
      </x:c>
      <x:c r="L195" s="102" t="n">
        <x:v>-4.4</x:v>
      </x:c>
      <x:c r="M195" s="104" t="n">
        <x:v>5.6</x:v>
      </x:c>
      <x:c r="N195" s="104" t="n">
        <x:v>6.4</x:v>
      </x:c>
      <x:c r="O195" s="104" t="n">
        <x:v>0.8</x:v>
      </x:c>
      <x:c r="P195" s="104" t="n">
        <x:v>-0.6</x:v>
      </x:c>
      <x:c r="Q195" s="104" t="n">
        <x:v>0.6</x:v>
      </x:c>
      <x:c r="R195" s="104" t="n">
        <x:v>1.2</x:v>
      </x:c>
      <x:c r="S195" s="104" t="n">
        <x:v>-3</x:v>
      </x:c>
      <x:c r="T195" s="104" t="n">
        <x:v>-2</x:v>
      </x:c>
      <x:c r="U195" s="104" t="n">
        <x:v>-1</x:v>
      </x:c>
      <x:c r="V195" s="104" t="n">
        <x:v>25.55</x:v>
      </x:c>
      <x:c r="W195" s="103" t="n">
        <x:v>10</x:v>
      </x:c>
      <x:c r="X195" s="105" t="str">
        <x:v>raised approximate per-asset strategy/risk utility by +25.6; projection +0.8 pts; forecast price change +1.2M; negative-P5 exposure -1.0; released $4.4M.</x:v>
      </x:c>
    </x:row>
    <x:row r="196" ht="44" customHeight="1">
      <x:c r="A196" s="101" t="str">
        <x:v>Budget Builder</x:v>
      </x:c>
      <x:c r="B196" s="101" t="str">
        <x:v>Medium tolerance</x:v>
      </x:c>
      <x:c r="C196" s="101" t="n">
        <x:v>10</x:v>
      </x:c>
      <x:c r="D196" s="101" t="str">
        <x:v>Austrian Grand Prix</x:v>
      </x:c>
      <x:c r="E196" s="101" t="str">
        <x:v>genuine</x:v>
      </x:c>
      <x:c r="F196" s="101" t="str">
        <x:v>no negative</x:v>
      </x:c>
      <x:c r="G196" s="101" t="str">
        <x:v>constructor</x:v>
      </x:c>
      <x:c r="H196" s="101" t="str">
        <x:v>ferrari</x:v>
      </x:c>
      <x:c r="I196" s="101" t="str">
        <x:v>mercedes</x:v>
      </x:c>
      <x:c r="J196" s="102" t="n">
        <x:v>25.4</x:v>
      </x:c>
      <x:c r="K196" s="102" t="n">
        <x:v>31.4</x:v>
      </x:c>
      <x:c r="L196" s="102" t="n">
        <x:v>6</x:v>
      </x:c>
      <x:c r="M196" s="104" t="n">
        <x:v>57.5</x:v>
      </x:c>
      <x:c r="N196" s="104" t="n">
        <x:v>77.2</x:v>
      </x:c>
      <x:c r="O196" s="104" t="n">
        <x:v>19.7</x:v>
      </x:c>
      <x:c r="P196" s="104" t="n">
        <x:v>0.3</x:v>
      </x:c>
      <x:c r="Q196" s="104" t="n">
        <x:v>0.3</x:v>
      </x:c>
      <x:c r="R196" s="104" t="n">
        <x:v>0</x:v>
      </x:c>
      <x:c r="S196" s="104" t="n">
        <x:v>16.8</x:v>
      </x:c>
      <x:c r="T196" s="104" t="n">
        <x:v>24.1</x:v>
      </x:c>
      <x:c r="U196" s="104" t="n">
        <x:v>0</x:v>
      </x:c>
      <x:c r="V196" s="104" t="n">
        <x:v>19.7</x:v>
      </x:c>
      <x:c r="W196" s="103" t="n">
        <x:v>10</x:v>
      </x:c>
      <x:c r="X196" s="105" t="str">
        <x:v>raised approximate per-asset strategy/risk utility by +19.7; projection +19.7 pts; spent $6.0M more.</x:v>
      </x:c>
    </x:row>
    <x:row r="197" ht="44" customHeight="1">
      <x:c r="A197" s="101" t="str">
        <x:v>Budget Builder</x:v>
      </x:c>
      <x:c r="B197" s="101" t="str">
        <x:v>Medium tolerance</x:v>
      </x:c>
      <x:c r="C197" s="101" t="n">
        <x:v>11</x:v>
      </x:c>
      <x:c r="D197" s="101" t="str">
        <x:v>British Grand Prix</x:v>
      </x:c>
      <x:c r="E197" s="101" t="str">
        <x:v>genuine</x:v>
      </x:c>
      <x:c r="F197" s="101" t="str"/>
      <x:c r="G197" s="101" t="str">
        <x:v>driver</x:v>
      </x:c>
      <x:c r="H197" s="101" t="str">
        <x:v>OCO</x:v>
      </x:c>
      <x:c r="I197" s="101" t="str">
        <x:v>COL</x:v>
      </x:c>
      <x:c r="J197" s="102" t="n">
        <x:v>10.1</x:v>
      </x:c>
      <x:c r="K197" s="102" t="n">
        <x:v>9.8</x:v>
      </x:c>
      <x:c r="L197" s="102" t="n">
        <x:v>-0.3</x:v>
      </x:c>
      <x:c r="M197" s="104" t="n">
        <x:v>11.3</x:v>
      </x:c>
      <x:c r="N197" s="104" t="n">
        <x:v>10.1</x:v>
      </x:c>
      <x:c r="O197" s="104" t="n">
        <x:v>-1.2</x:v>
      </x:c>
      <x:c r="P197" s="104" t="n">
        <x:v>-0.2</x:v>
      </x:c>
      <x:c r="Q197" s="104" t="n">
        <x:v>0.2</x:v>
      </x:c>
      <x:c r="R197" s="104" t="n">
        <x:v>0.4</x:v>
      </x:c>
      <x:c r="S197" s="104" t="n">
        <x:v>-10</x:v>
      </x:c>
      <x:c r="T197" s="104" t="n">
        <x:v>-10.7</x:v>
      </x:c>
      <x:c r="U197" s="104" t="n">
        <x:v>0.7</x:v>
      </x:c>
      <x:c r="V197" s="104" t="n">
        <x:v>6.28</x:v>
      </x:c>
      <x:c r="W197" s="103" t="n">
        <x:v>0</x:v>
      </x:c>
      <x:c r="X197" s="105" t="str">
        <x:v>raised approximate per-asset strategy/risk utility by +6.3; gave up 1.2 projected pts; forecast price change +0.4M; negative-P5 exposure +0.7; released $0.3M.</x:v>
      </x:c>
    </x:row>
    <x:row r="198" ht="44" customHeight="1">
      <x:c r="A198" s="101" t="str">
        <x:v>Budget Builder</x:v>
      </x:c>
      <x:c r="B198" s="101" t="str">
        <x:v>Medium tolerance</x:v>
      </x:c>
      <x:c r="C198" s="101" t="n">
        <x:v>12</x:v>
      </x:c>
      <x:c r="D198" s="101" t="str">
        <x:v>Belgian Grand Prix</x:v>
      </x:c>
      <x:c r="E198" s="101" t="str">
        <x:v>genuine</x:v>
      </x:c>
      <x:c r="F198" s="101" t="str">
        <x:v>autopilot</x:v>
      </x:c>
      <x:c r="G198" s="101" t="str">
        <x:v>driver</x:v>
      </x:c>
      <x:c r="H198" s="101" t="str">
        <x:v>BOR</x:v>
      </x:c>
      <x:c r="I198" s="101" t="str">
        <x:v>HAD</x:v>
      </x:c>
      <x:c r="J198" s="102" t="n">
        <x:v>6.6</x:v>
      </x:c>
      <x:c r="K198" s="102" t="n">
        <x:v>13.3</x:v>
      </x:c>
      <x:c r="L198" s="102" t="n">
        <x:v>6.7</x:v>
      </x:c>
      <x:c r="M198" s="104" t="n">
        <x:v>1.9</x:v>
      </x:c>
      <x:c r="N198" s="104" t="n">
        <x:v>33.3</x:v>
      </x:c>
      <x:c r="O198" s="104" t="n">
        <x:v>31.4</x:v>
      </x:c>
      <x:c r="P198" s="104" t="n">
        <x:v>0.2</x:v>
      </x:c>
      <x:c r="Q198" s="104" t="n">
        <x:v>0.6</x:v>
      </x:c>
      <x:c r="R198" s="104" t="n">
        <x:v>0.4</x:v>
      </x:c>
      <x:c r="S198" s="104" t="n">
        <x:v>-15</x:v>
      </x:c>
      <x:c r="T198" s="104" t="n">
        <x:v>-14.7</x:v>
      </x:c>
      <x:c r="U198" s="104" t="n">
        <x:v>-0.3</x:v>
      </x:c>
      <x:c r="V198" s="104" t="n">
        <x:v>39.62</x:v>
      </x:c>
      <x:c r="W198" s="103" t="n">
        <x:v>10</x:v>
      </x:c>
      <x:c r="X198" s="105" t="str">
        <x:v>raised approximate per-asset strategy/risk utility by +39.6; projection +31.4 pts; forecast price change +0.4M; negative-P5 exposure -0.3; spent $6.7M more.</x:v>
      </x:c>
    </x:row>
    <x:row r="199" ht="44" customHeight="1">
      <x:c r="A199" s="101" t="str">
        <x:v>Budget Builder</x:v>
      </x:c>
      <x:c r="B199" s="101" t="str">
        <x:v>Medium tolerance</x:v>
      </x:c>
      <x:c r="C199" s="101" t="n">
        <x:v>12</x:v>
      </x:c>
      <x:c r="D199" s="101" t="str">
        <x:v>Belgian Grand Prix</x:v>
      </x:c>
      <x:c r="E199" s="101" t="str">
        <x:v>genuine</x:v>
      </x:c>
      <x:c r="F199" s="101" t="str">
        <x:v>autopilot</x:v>
      </x:c>
      <x:c r="G199" s="101" t="str">
        <x:v>constructor</x:v>
      </x:c>
      <x:c r="H199" s="101" t="str">
        <x:v>mercedes</x:v>
      </x:c>
      <x:c r="I199" s="101" t="str">
        <x:v>ferrari</x:v>
      </x:c>
      <x:c r="J199" s="102" t="n">
        <x:v>32</x:v>
      </x:c>
      <x:c r="K199" s="102" t="n">
        <x:v>26</x:v>
      </x:c>
      <x:c r="L199" s="102" t="n">
        <x:v>-6</x:v>
      </x:c>
      <x:c r="M199" s="104" t="n">
        <x:v>59.1</x:v>
      </x:c>
      <x:c r="N199" s="104" t="n">
        <x:v>56.9</x:v>
      </x:c>
      <x:c r="O199" s="104" t="n">
        <x:v>-2.2</x:v>
      </x:c>
      <x:c r="P199" s="104" t="n">
        <x:v>0.3</x:v>
      </x:c>
      <x:c r="Q199" s="104" t="n">
        <x:v>0.3</x:v>
      </x:c>
      <x:c r="R199" s="104" t="n">
        <x:v>0</x:v>
      </x:c>
      <x:c r="S199" s="104" t="n">
        <x:v>19.8</x:v>
      </x:c>
      <x:c r="T199" s="104" t="n">
        <x:v>17.6</x:v>
      </x:c>
      <x:c r="U199" s="104" t="n">
        <x:v>0</x:v>
      </x:c>
      <x:c r="V199" s="104" t="n">
        <x:v>-2.2</x:v>
      </x:c>
      <x:c r="W199" s="103" t="n">
        <x:v>10</x:v>
      </x:c>
      <x:c r="X199" s="105" t="str">
        <x:v>was -2.2 utility on this explanatory pairing but enabled the higher-utility seven-asset lineup; gave up 2.2 projected pts; released $6.0M.</x:v>
      </x:c>
    </x:row>
    <x:row r="200" ht="44" customHeight="1">
      <x:c r="A200" s="101" t="str">
        <x:v>Budget Builder</x:v>
      </x:c>
      <x:c r="B200" s="101" t="str">
        <x:v>Medium tolerance</x:v>
      </x:c>
      <x:c r="C200" s="101" t="n">
        <x:v>13</x:v>
      </x:c>
      <x:c r="D200" s="101" t="str">
        <x:v>Hungarian Grand Prix</x:v>
      </x:c>
      <x:c r="E200" s="101" t="str">
        <x:v>genuine</x:v>
      </x:c>
      <x:c r="F200" s="101" t="str"/>
      <x:c r="G200" s="101" t="str">
        <x:v>driver</x:v>
      </x:c>
      <x:c r="H200" s="101" t="str">
        <x:v>ANT</x:v>
      </x:c>
      <x:c r="I200" s="101" t="str">
        <x:v>LEC</x:v>
      </x:c>
      <x:c r="J200" s="102" t="n">
        <x:v>25.6</x:v>
      </x:c>
      <x:c r="K200" s="102" t="n">
        <x:v>23.6</x:v>
      </x:c>
      <x:c r="L200" s="102" t="n">
        <x:v>-2</x:v>
      </x:c>
      <x:c r="M200" s="104" t="n">
        <x:v>20.7</x:v>
      </x:c>
      <x:c r="N200" s="104" t="n">
        <x:v>22</x:v>
      </x:c>
      <x:c r="O200" s="104" t="n">
        <x:v>1.3</x:v>
      </x:c>
      <x:c r="P200" s="104" t="n">
        <x:v>0.1</x:v>
      </x:c>
      <x:c r="Q200" s="104" t="n">
        <x:v>0.3</x:v>
      </x:c>
      <x:c r="R200" s="104" t="n">
        <x:v>0.2</x:v>
      </x:c>
      <x:c r="S200" s="104" t="n">
        <x:v>-8.5</x:v>
      </x:c>
      <x:c r="T200" s="104" t="n">
        <x:v>-10.3</x:v>
      </x:c>
      <x:c r="U200" s="104" t="n">
        <x:v>1.8</x:v>
      </x:c>
      <x:c r="V200" s="104" t="n">
        <x:v>3.95</x:v>
      </x:c>
      <x:c r="W200" s="103" t="n">
        <x:v>0</x:v>
      </x:c>
      <x:c r="X200" s="105" t="str">
        <x:v>raised approximate per-asset strategy/risk utility by +4.0; projection +1.3 pts; forecast price change +0.2M; negative-P5 exposure +1.8; released $2.0M.</x:v>
      </x:c>
    </x:row>
    <x:row r="201" ht="44" customHeight="1">
      <x:c r="A201" s="101" t="str">
        <x:v>Budget Builder</x:v>
      </x:c>
      <x:c r="B201" s="101" t="str">
        <x:v>Maximum tolerance</x:v>
      </x:c>
      <x:c r="C201" s="101" t="n">
        <x:v>2</x:v>
      </x:c>
      <x:c r="D201" s="101" t="str">
        <x:v>Chinese Grand Prix</x:v>
      </x:c>
      <x:c r="E201" s="101" t="str">
        <x:v>reconstructed</x:v>
      </x:c>
      <x:c r="F201" s="101" t="str"/>
      <x:c r="G201" s="101" t="str">
        <x:v>driver</x:v>
      </x:c>
      <x:c r="H201" s="101" t="str">
        <x:v>HUL</x:v>
      </x:c>
      <x:c r="I201" s="101" t="str">
        <x:v>COL</x:v>
      </x:c>
      <x:c r="J201" s="102" t="n">
        <x:v>5.6</x:v>
      </x:c>
      <x:c r="K201" s="102" t="n">
        <x:v>7</x:v>
      </x:c>
      <x:c r="L201" s="102" t="n">
        <x:v>1.4</x:v>
      </x:c>
      <x:c r="M201" s="104" t="n">
        <x:v>12.3</x:v>
      </x:c>
      <x:c r="N201" s="104" t="n">
        <x:v>15.8</x:v>
      </x:c>
      <x:c r="O201" s="104" t="n">
        <x:v>3.5</x:v>
      </x:c>
      <x:c r="P201" s="104" t="n">
        <x:v>-0.6</x:v>
      </x:c>
      <x:c r="Q201" s="104" t="n">
        <x:v>0.6</x:v>
      </x:c>
      <x:c r="R201" s="104" t="n">
        <x:v>1.2</x:v>
      </x:c>
      <x:c r="S201" s="104" t="n">
        <x:v>-17</x:v>
      </x:c>
      <x:c r="T201" s="104" t="n">
        <x:v>-6</x:v>
      </x:c>
      <x:c r="U201" s="104" t="n">
        <x:v>-11</x:v>
      </x:c>
      <x:c r="V201" s="104" t="n">
        <x:v>27.5</x:v>
      </x:c>
      <x:c r="W201" s="103" t="n">
        <x:v>0</x:v>
      </x:c>
      <x:c r="X201" s="105" t="str">
        <x:v>raised approximate per-asset strategy/risk utility by +27.5; projection +3.5 pts; forecast price change +1.2M; negative-P5 exposure -11.0; spent $1.4M more.</x:v>
      </x:c>
    </x:row>
    <x:row r="202" ht="44" customHeight="1">
      <x:c r="A202" s="101" t="str">
        <x:v>Budget Builder</x:v>
      </x:c>
      <x:c r="B202" s="101" t="str">
        <x:v>Maximum tolerance</x:v>
      </x:c>
      <x:c r="C202" s="101" t="n">
        <x:v>2</x:v>
      </x:c>
      <x:c r="D202" s="101" t="str">
        <x:v>Chinese Grand Prix</x:v>
      </x:c>
      <x:c r="E202" s="101" t="str">
        <x:v>reconstructed</x:v>
      </x:c>
      <x:c r="F202" s="101" t="str"/>
      <x:c r="G202" s="101" t="str">
        <x:v>driver</x:v>
      </x:c>
      <x:c r="H202" s="101" t="str">
        <x:v>RUS</x:v>
      </x:c>
      <x:c r="I202" s="101" t="str">
        <x:v>ANT</x:v>
      </x:c>
      <x:c r="J202" s="102" t="n">
        <x:v>28</x:v>
      </x:c>
      <x:c r="K202" s="102" t="n">
        <x:v>23.8</x:v>
      </x:c>
      <x:c r="L202" s="102" t="n">
        <x:v>-4.2</x:v>
      </x:c>
      <x:c r="M202" s="104" t="n">
        <x:v>45.5</x:v>
      </x:c>
      <x:c r="N202" s="104" t="n">
        <x:v>48.2</x:v>
      </x:c>
      <x:c r="O202" s="104" t="n">
        <x:v>2.7</x:v>
      </x:c>
      <x:c r="P202" s="104" t="n">
        <x:v>0.3</x:v>
      </x:c>
      <x:c r="Q202" s="104" t="n">
        <x:v>0.3</x:v>
      </x:c>
      <x:c r="R202" s="104" t="n">
        <x:v>0</x:v>
      </x:c>
      <x:c r="S202" s="104" t="n">
        <x:v>19</x:v>
      </x:c>
      <x:c r="T202" s="104" t="n">
        <x:v>19</x:v>
      </x:c>
      <x:c r="U202" s="104" t="n">
        <x:v>0</x:v>
      </x:c>
      <x:c r="V202" s="104" t="n">
        <x:v>2.7</x:v>
      </x:c>
      <x:c r="W202" s="103" t="n">
        <x:v>0</x:v>
      </x:c>
      <x:c r="X202" s="105" t="str">
        <x:v>raised approximate per-asset strategy/risk utility by +2.7; projection +2.7 pts; released $4.2M; became the projected 2x captain.</x:v>
      </x:c>
    </x:row>
    <x:row r="203" ht="44" customHeight="1">
      <x:c r="A203" s="101" t="str">
        <x:v>Budget Builder</x:v>
      </x:c>
      <x:c r="B203" s="101" t="str">
        <x:v>Maximum tolerance</x:v>
      </x:c>
      <x:c r="C203" s="101" t="n">
        <x:v>3</x:v>
      </x:c>
      <x:c r="D203" s="101" t="str">
        <x:v>Japanese Grand Prix</x:v>
      </x:c>
      <x:c r="E203" s="101" t="str">
        <x:v>reconstructed</x:v>
      </x:c>
      <x:c r="F203" s="101" t="str"/>
      <x:c r="G203" s="101" t="str">
        <x:v>driver</x:v>
      </x:c>
      <x:c r="H203" s="101" t="str">
        <x:v>BOR</x:v>
      </x:c>
      <x:c r="I203" s="101" t="str">
        <x:v>PER</x:v>
      </x:c>
      <x:c r="J203" s="102" t="n">
        <x:v>6.4</x:v>
      </x:c>
      <x:c r="K203" s="102" t="n">
        <x:v>6.4</x:v>
      </x:c>
      <x:c r="L203" s="102" t="n">
        <x:v>0</x:v>
      </x:c>
      <x:c r="M203" s="104" t="n">
        <x:v>8.2</x:v>
      </x:c>
      <x:c r="N203" s="104" t="n">
        <x:v>2.7</x:v>
      </x:c>
      <x:c r="O203" s="104" t="n">
        <x:v>-5.5</x:v>
      </x:c>
      <x:c r="P203" s="104" t="n">
        <x:v>-0.6</x:v>
      </x:c>
      <x:c r="Q203" s="104" t="n">
        <x:v>0.6</x:v>
      </x:c>
      <x:c r="R203" s="104" t="n">
        <x:v>1.2</x:v>
      </x:c>
      <x:c r="S203" s="104" t="n">
        <x:v>-4</x:v>
      </x:c>
      <x:c r="T203" s="104" t="n">
        <x:v>-20</x:v>
      </x:c>
      <x:c r="U203" s="104" t="n">
        <x:v>16</x:v>
      </x:c>
      <x:c r="V203" s="104" t="n">
        <x:v>18.5</x:v>
      </x:c>
      <x:c r="W203" s="103" t="n">
        <x:v>0</x:v>
      </x:c>
      <x:c r="X203" s="105" t="str">
        <x:v>raised approximate per-asset strategy/risk utility by +18.5; gave up 5.5 projected pts; forecast price change +1.2M; negative-P5 exposure +16.0.</x:v>
      </x:c>
    </x:row>
    <x:row r="204" ht="44" customHeight="1">
      <x:c r="A204" s="101" t="str">
        <x:v>Budget Builder</x:v>
      </x:c>
      <x:c r="B204" s="101" t="str">
        <x:v>Maximum tolerance</x:v>
      </x:c>
      <x:c r="C204" s="101" t="n">
        <x:v>6</x:v>
      </x:c>
      <x:c r="D204" s="101" t="str">
        <x:v>Miami Grand Prix</x:v>
      </x:c>
      <x:c r="E204" s="101" t="str">
        <x:v>genuine</x:v>
      </x:c>
      <x:c r="F204" s="101" t="str">
        <x:v>wild card</x:v>
      </x:c>
      <x:c r="G204" s="101" t="str">
        <x:v>driver</x:v>
      </x:c>
      <x:c r="H204" s="101" t="str">
        <x:v>COL</x:v>
      </x:c>
      <x:c r="I204" s="101" t="str">
        <x:v>LEC</x:v>
      </x:c>
      <x:c r="J204" s="102" t="n">
        <x:v>7.6</x:v>
      </x:c>
      <x:c r="K204" s="102" t="n">
        <x:v>23.7</x:v>
      </x:c>
      <x:c r="L204" s="102" t="n">
        <x:v>16.1</x:v>
      </x:c>
      <x:c r="M204" s="104" t="n">
        <x:v>12.2</x:v>
      </x:c>
      <x:c r="N204" s="104" t="n">
        <x:v>47.4</x:v>
      </x:c>
      <x:c r="O204" s="104" t="n">
        <x:v>35.2</x:v>
      </x:c>
      <x:c r="P204" s="104" t="n">
        <x:v>0.6</x:v>
      </x:c>
      <x:c r="Q204" s="104" t="n">
        <x:v>0.3</x:v>
      </x:c>
      <x:c r="R204" s="104" t="n">
        <x:v>-0.3</x:v>
      </x:c>
      <x:c r="S204" s="104" t="n">
        <x:v>-5</x:v>
      </x:c>
      <x:c r="T204" s="104" t="n">
        <x:v>22</x:v>
      </x:c>
      <x:c r="U204" s="104" t="n">
        <x:v>-5</x:v>
      </x:c>
      <x:c r="V204" s="104" t="n">
        <x:v>29.2</x:v>
      </x:c>
      <x:c r="W204" s="103" t="n">
        <x:v>0</x:v>
      </x:c>
      <x:c r="X204" s="105" t="str">
        <x:v>Wild Card made the permanent rebuild free; Forecasted competitive-order change called for 4 lineup changes and a 31.0-utility improvement; this is the upgrade/order-shift proxy.; raised approximate per-asset strategy/risk utility by +29.2; projection +35.2 pts; forecast price change -0.3M; negative-P5 exposure -5.0; spent $16.1M more.</x:v>
      </x:c>
    </x:row>
    <x:row r="205" ht="44" customHeight="1">
      <x:c r="A205" s="101" t="str">
        <x:v>Budget Builder</x:v>
      </x:c>
      <x:c r="B205" s="101" t="str">
        <x:v>Maximum tolerance</x:v>
      </x:c>
      <x:c r="C205" s="101" t="n">
        <x:v>6</x:v>
      </x:c>
      <x:c r="D205" s="101" t="str">
        <x:v>Miami Grand Prix</x:v>
      </x:c>
      <x:c r="E205" s="101" t="str">
        <x:v>genuine</x:v>
      </x:c>
      <x:c r="F205" s="101" t="str">
        <x:v>wild card</x:v>
      </x:c>
      <x:c r="G205" s="101" t="str">
        <x:v>driver</x:v>
      </x:c>
      <x:c r="H205" s="101" t="str">
        <x:v>PER</x:v>
      </x:c>
      <x:c r="I205" s="101" t="str">
        <x:v>LAW</x:v>
      </x:c>
      <x:c r="J205" s="102" t="n">
        <x:v>7</x:v>
      </x:c>
      <x:c r="K205" s="102" t="n">
        <x:v>7.5</x:v>
      </x:c>
      <x:c r="L205" s="102" t="n">
        <x:v>0.5</x:v>
      </x:c>
      <x:c r="M205" s="104" t="n">
        <x:v>5.5</x:v>
      </x:c>
      <x:c r="N205" s="104" t="n">
        <x:v>23.4</x:v>
      </x:c>
      <x:c r="O205" s="104" t="n">
        <x:v>17.9</x:v>
      </x:c>
      <x:c r="P205" s="104" t="n">
        <x:v>0.6</x:v>
      </x:c>
      <x:c r="Q205" s="104" t="n">
        <x:v>0.6</x:v>
      </x:c>
      <x:c r="R205" s="104" t="n">
        <x:v>0</x:v>
      </x:c>
      <x:c r="S205" s="104" t="n">
        <x:v>-18</x:v>
      </x:c>
      <x:c r="T205" s="104" t="n">
        <x:v>1</x:v>
      </x:c>
      <x:c r="U205" s="104" t="n">
        <x:v>-18</x:v>
      </x:c>
      <x:c r="V205" s="104" t="n">
        <x:v>17.9</x:v>
      </x:c>
      <x:c r="W205" s="103" t="n">
        <x:v>0</x:v>
      </x:c>
      <x:c r="X205" s="105" t="str">
        <x:v>Wild Card made the permanent rebuild free; Forecasted competitive-order change called for 4 lineup changes and a 31.0-utility improvement; this is the upgrade/order-shift proxy.; raised approximate per-asset strategy/risk utility by +17.9; projection +17.9 pts; negative-P5 exposure -18.0; spent $0.5M more.</x:v>
      </x:c>
    </x:row>
    <x:row r="206" ht="44" customHeight="1">
      <x:c r="A206" s="101" t="str">
        <x:v>Budget Builder</x:v>
      </x:c>
      <x:c r="B206" s="101" t="str">
        <x:v>Maximum tolerance</x:v>
      </x:c>
      <x:c r="C206" s="101" t="n">
        <x:v>6</x:v>
      </x:c>
      <x:c r="D206" s="101" t="str">
        <x:v>Miami Grand Prix</x:v>
      </x:c>
      <x:c r="E206" s="101" t="str">
        <x:v>genuine</x:v>
      </x:c>
      <x:c r="F206" s="101" t="str">
        <x:v>wild card</x:v>
      </x:c>
      <x:c r="G206" s="101" t="str">
        <x:v>constructor</x:v>
      </x:c>
      <x:c r="H206" s="101" t="str">
        <x:v>haas</x:v>
      </x:c>
      <x:c r="I206" s="101" t="str">
        <x:v>racing_bulls</x:v>
      </x:c>
      <x:c r="J206" s="102" t="n">
        <x:v>9.2</x:v>
      </x:c>
      <x:c r="K206" s="102" t="n">
        <x:v>8.1</x:v>
      </x:c>
      <x:c r="L206" s="102" t="n">
        <x:v>-1.1</x:v>
      </x:c>
      <x:c r="M206" s="104" t="n">
        <x:v>44.6</x:v>
      </x:c>
      <x:c r="N206" s="104" t="n">
        <x:v>56</x:v>
      </x:c>
      <x:c r="O206" s="104" t="n">
        <x:v>11.4</x:v>
      </x:c>
      <x:c r="P206" s="104" t="n">
        <x:v>0.6</x:v>
      </x:c>
      <x:c r="Q206" s="104" t="n">
        <x:v>0.6</x:v>
      </x:c>
      <x:c r="R206" s="104" t="n">
        <x:v>0</x:v>
      </x:c>
      <x:c r="S206" s="104" t="n">
        <x:v>5.5</x:v>
      </x:c>
      <x:c r="T206" s="104" t="n">
        <x:v>24.5</x:v>
      </x:c>
      <x:c r="U206" s="104" t="n">
        <x:v>0</x:v>
      </x:c>
      <x:c r="V206" s="104" t="n">
        <x:v>11.4</x:v>
      </x:c>
      <x:c r="W206" s="103" t="n">
        <x:v>0</x:v>
      </x:c>
      <x:c r="X206" s="105" t="str">
        <x:v>Wild Card made the permanent rebuild free; Forecasted competitive-order change called for 4 lineup changes and a 31.0-utility improvement; this is the upgrade/order-shift proxy.; raised approximate per-asset strategy/risk utility by +11.4; projection +11.4 pts; released $1.1M.</x:v>
      </x:c>
    </x:row>
    <x:row r="207" ht="44" customHeight="1">
      <x:c r="A207" s="101" t="str">
        <x:v>Budget Builder</x:v>
      </x:c>
      <x:c r="B207" s="101" t="str">
        <x:v>Maximum tolerance</x:v>
      </x:c>
      <x:c r="C207" s="101" t="n">
        <x:v>6</x:v>
      </x:c>
      <x:c r="D207" s="101" t="str">
        <x:v>Miami Grand Prix</x:v>
      </x:c>
      <x:c r="E207" s="101" t="str">
        <x:v>genuine</x:v>
      </x:c>
      <x:c r="F207" s="101" t="str">
        <x:v>wild card</x:v>
      </x:c>
      <x:c r="G207" s="101" t="str">
        <x:v>constructor</x:v>
      </x:c>
      <x:c r="H207" s="101" t="str">
        <x:v>mercedes</x:v>
      </x:c>
      <x:c r="I207" s="101" t="str">
        <x:v>ferrari</x:v>
      </x:c>
      <x:c r="J207" s="102" t="n">
        <x:v>30.2</x:v>
      </x:c>
      <x:c r="K207" s="102" t="n">
        <x:v>24.2</x:v>
      </x:c>
      <x:c r="L207" s="102" t="n">
        <x:v>-6</x:v>
      </x:c>
      <x:c r="M207" s="104" t="n">
        <x:v>108.1</x:v>
      </x:c>
      <x:c r="N207" s="104" t="n">
        <x:v>99.9</x:v>
      </x:c>
      <x:c r="O207" s="104" t="n">
        <x:v>-8.2</x:v>
      </x:c>
      <x:c r="P207" s="104" t="n">
        <x:v>0.3</x:v>
      </x:c>
      <x:c r="Q207" s="104" t="n">
        <x:v>0.3</x:v>
      </x:c>
      <x:c r="R207" s="104" t="n">
        <x:v>0</x:v>
      </x:c>
      <x:c r="S207" s="104" t="n">
        <x:v>69.5</x:v>
      </x:c>
      <x:c r="T207" s="104" t="n">
        <x:v>62.5</x:v>
      </x:c>
      <x:c r="U207" s="104" t="n">
        <x:v>0</x:v>
      </x:c>
      <x:c r="V207" s="104" t="n">
        <x:v>-8.2</x:v>
      </x:c>
      <x:c r="W207" s="103" t="n">
        <x:v>0</x:v>
      </x:c>
      <x:c r="X207" s="105" t="str">
        <x:v>Wild Card made the permanent rebuild free; Forecasted competitive-order change called for 4 lineup changes and a 31.0-utility improvement; this is the upgrade/order-shift proxy.; was -8.2 utility on this explanatory pairing but enabled the higher-utility seven-asset lineup; gave up 8.2 projected pts; released $6.0M.</x:v>
      </x:c>
    </x:row>
    <x:row r="208" ht="44" customHeight="1">
      <x:c r="A208" s="101" t="str">
        <x:v>Budget Builder</x:v>
      </x:c>
      <x:c r="B208" s="101" t="str">
        <x:v>Maximum tolerance</x:v>
      </x:c>
      <x:c r="C208" s="101" t="n">
        <x:v>7</x:v>
      </x:c>
      <x:c r="D208" s="101" t="str">
        <x:v>Canadian Grand Prix</x:v>
      </x:c>
      <x:c r="E208" s="101" t="str">
        <x:v>genuine</x:v>
      </x:c>
      <x:c r="F208" s="101" t="str"/>
      <x:c r="G208" s="101" t="str">
        <x:v>driver</x:v>
      </x:c>
      <x:c r="H208" s="101" t="str">
        <x:v>LAW</x:v>
      </x:c>
      <x:c r="I208" s="101" t="str">
        <x:v>COL</x:v>
      </x:c>
      <x:c r="J208" s="102" t="n">
        <x:v>8.1</x:v>
      </x:c>
      <x:c r="K208" s="102" t="n">
        <x:v>8.2</x:v>
      </x:c>
      <x:c r="L208" s="102" t="n">
        <x:v>0.1</x:v>
      </x:c>
      <x:c r="M208" s="104" t="n">
        <x:v>15.1</x:v>
      </x:c>
      <x:c r="N208" s="104" t="n">
        <x:v>15.9</x:v>
      </x:c>
      <x:c r="O208" s="104" t="n">
        <x:v>0.8</x:v>
      </x:c>
      <x:c r="P208" s="104" t="n">
        <x:v>-0.6</x:v>
      </x:c>
      <x:c r="Q208" s="104" t="n">
        <x:v>0.6</x:v>
      </x:c>
      <x:c r="R208" s="104" t="n">
        <x:v>1.2</x:v>
      </x:c>
      <x:c r="S208" s="104" t="n">
        <x:v>-16</x:v>
      </x:c>
      <x:c r="T208" s="104" t="n">
        <x:v>-6</x:v>
      </x:c>
      <x:c r="U208" s="104" t="n">
        <x:v>-10</x:v>
      </x:c>
      <x:c r="V208" s="104" t="n">
        <x:v>24.8</x:v>
      </x:c>
      <x:c r="W208" s="103" t="n">
        <x:v>0</x:v>
      </x:c>
      <x:c r="X208" s="105" t="str">
        <x:v>raised approximate per-asset strategy/risk utility by +24.8; projection +0.8 pts; forecast price change +1.2M; negative-P5 exposure -10.0; spent $0.1M more.</x:v>
      </x:c>
    </x:row>
    <x:row r="209" ht="44" customHeight="1">
      <x:c r="A209" s="101" t="str">
        <x:v>Budget Builder</x:v>
      </x:c>
      <x:c r="B209" s="101" t="str">
        <x:v>Maximum tolerance</x:v>
      </x:c>
      <x:c r="C209" s="101" t="n">
        <x:v>7</x:v>
      </x:c>
      <x:c r="D209" s="101" t="str">
        <x:v>Canadian Grand Prix</x:v>
      </x:c>
      <x:c r="E209" s="101" t="str">
        <x:v>genuine</x:v>
      </x:c>
      <x:c r="F209" s="101" t="str"/>
      <x:c r="G209" s="101" t="str">
        <x:v>driver</x:v>
      </x:c>
      <x:c r="H209" s="101" t="str">
        <x:v>LIN</x:v>
      </x:c>
      <x:c r="I209" s="101" t="str">
        <x:v>PER</x:v>
      </x:c>
      <x:c r="J209" s="102" t="n">
        <x:v>7</x:v>
      </x:c>
      <x:c r="K209" s="102" t="n">
        <x:v>7.6</x:v>
      </x:c>
      <x:c r="L209" s="102" t="n">
        <x:v>0.6</x:v>
      </x:c>
      <x:c r="M209" s="104" t="n">
        <x:v>11.1</x:v>
      </x:c>
      <x:c r="N209" s="104" t="n">
        <x:v>12.5</x:v>
      </x:c>
      <x:c r="O209" s="104" t="n">
        <x:v>1.4</x:v>
      </x:c>
      <x:c r="P209" s="104" t="n">
        <x:v>-0.6</x:v>
      </x:c>
      <x:c r="Q209" s="104" t="n">
        <x:v>0.6</x:v>
      </x:c>
      <x:c r="R209" s="104" t="n">
        <x:v>1.2</x:v>
      </x:c>
      <x:c r="S209" s="104" t="n">
        <x:v>-6</x:v>
      </x:c>
      <x:c r="T209" s="104" t="n">
        <x:v>-13</x:v>
      </x:c>
      <x:c r="U209" s="104" t="n">
        <x:v>7</x:v>
      </x:c>
      <x:c r="V209" s="104" t="n">
        <x:v>25.4</x:v>
      </x:c>
      <x:c r="W209" s="103" t="n">
        <x:v>0</x:v>
      </x:c>
      <x:c r="X209" s="105" t="str">
        <x:v>raised approximate per-asset strategy/risk utility by +25.4; projection +1.4 pts; forecast price change +1.2M; negative-P5 exposure +7.0; spent $0.6M more.</x:v>
      </x:c>
    </x:row>
    <x:row r="210" ht="44" customHeight="1">
      <x:c r="A210" s="101" t="str">
        <x:v>Budget Builder</x:v>
      </x:c>
      <x:c r="B210" s="101" t="str">
        <x:v>Maximum tolerance</x:v>
      </x:c>
      <x:c r="C210" s="101" t="n">
        <x:v>9</x:v>
      </x:c>
      <x:c r="D210" s="101" t="str">
        <x:v>Spanish Grand Prix</x:v>
      </x:c>
      <x:c r="E210" s="101" t="str">
        <x:v>genuine</x:v>
      </x:c>
      <x:c r="F210" s="101" t="str"/>
      <x:c r="G210" s="101" t="str">
        <x:v>driver</x:v>
      </x:c>
      <x:c r="H210" s="101" t="str">
        <x:v>LEC</x:v>
      </x:c>
      <x:c r="I210" s="101" t="str">
        <x:v>LAW</x:v>
      </x:c>
      <x:c r="J210" s="102" t="n">
        <x:v>23.8</x:v>
      </x:c>
      <x:c r="K210" s="102" t="n">
        <x:v>8.1</x:v>
      </x:c>
      <x:c r="L210" s="102" t="n">
        <x:v>-15.7</x:v>
      </x:c>
      <x:c r="M210" s="104" t="n">
        <x:v>23.4</x:v>
      </x:c>
      <x:c r="N210" s="104" t="n">
        <x:v>2</x:v>
      </x:c>
      <x:c r="O210" s="104" t="n">
        <x:v>-21.4</x:v>
      </x:c>
      <x:c r="P210" s="104" t="n">
        <x:v>-0.3</x:v>
      </x:c>
      <x:c r="Q210" s="104" t="n">
        <x:v>0.6</x:v>
      </x:c>
      <x:c r="R210" s="104" t="n">
        <x:v>0.9</x:v>
      </x:c>
      <x:c r="S210" s="104" t="n">
        <x:v>-6</x:v>
      </x:c>
      <x:c r="T210" s="104" t="n">
        <x:v>-12</x:v>
      </x:c>
      <x:c r="U210" s="104" t="n">
        <x:v>6</x:v>
      </x:c>
      <x:c r="V210" s="104" t="n">
        <x:v>-3.4</x:v>
      </x:c>
      <x:c r="W210" s="103" t="n">
        <x:v>10</x:v>
      </x:c>
      <x:c r="X210" s="105" t="str">
        <x:v>was -3.4 utility on this explanatory pairing but enabled the higher-utility seven-asset lineup; gave up 21.4 projected pts; forecast price change +0.9M; negative-P5 exposure +6.0; released $15.7M.</x:v>
      </x:c>
    </x:row>
    <x:row r="211" ht="44" customHeight="1">
      <x:c r="A211" s="101" t="str">
        <x:v>Budget Builder</x:v>
      </x:c>
      <x:c r="B211" s="101" t="str">
        <x:v>Maximum tolerance</x:v>
      </x:c>
      <x:c r="C211" s="101" t="n">
        <x:v>9</x:v>
      </x:c>
      <x:c r="D211" s="101" t="str">
        <x:v>Spanish Grand Prix</x:v>
      </x:c>
      <x:c r="E211" s="101" t="str">
        <x:v>genuine</x:v>
      </x:c>
      <x:c r="F211" s="101" t="str"/>
      <x:c r="G211" s="101" t="str">
        <x:v>driver</x:v>
      </x:c>
      <x:c r="H211" s="101" t="str">
        <x:v>PER</x:v>
      </x:c>
      <x:c r="I211" s="101" t="str">
        <x:v>HUL</x:v>
      </x:c>
      <x:c r="J211" s="102" t="n">
        <x:v>6.8</x:v>
      </x:c>
      <x:c r="K211" s="102" t="n">
        <x:v>3.2</x:v>
      </x:c>
      <x:c r="L211" s="102" t="n">
        <x:v>-3.6</x:v>
      </x:c>
      <x:c r="M211" s="104" t="n">
        <x:v>1.8</x:v>
      </x:c>
      <x:c r="N211" s="104" t="n">
        <x:v>3</x:v>
      </x:c>
      <x:c r="O211" s="104" t="n">
        <x:v>1.2</x:v>
      </x:c>
      <x:c r="P211" s="104" t="n">
        <x:v>-0.6</x:v>
      </x:c>
      <x:c r="Q211" s="104" t="n">
        <x:v>-0.2</x:v>
      </x:c>
      <x:c r="R211" s="104" t="n">
        <x:v>0.4</x:v>
      </x:c>
      <x:c r="S211" s="104" t="n">
        <x:v>-12</x:v>
      </x:c>
      <x:c r="T211" s="104" t="n">
        <x:v>-12</x:v>
      </x:c>
      <x:c r="U211" s="104" t="n">
        <x:v>0</x:v>
      </x:c>
      <x:c r="V211" s="104" t="n">
        <x:v>9.2</x:v>
      </x:c>
      <x:c r="W211" s="103" t="n">
        <x:v>10</x:v>
      </x:c>
      <x:c r="X211" s="105" t="str">
        <x:v>raised approximate per-asset strategy/risk utility by +9.2; projection +1.2 pts; forecast price change +0.4M; released $3.6M.</x:v>
      </x:c>
    </x:row>
    <x:row r="212" ht="44" customHeight="1">
      <x:c r="A212" s="101" t="str">
        <x:v>Budget Builder</x:v>
      </x:c>
      <x:c r="B212" s="101" t="str">
        <x:v>Maximum tolerance</x:v>
      </x:c>
      <x:c r="C212" s="101" t="n">
        <x:v>9</x:v>
      </x:c>
      <x:c r="D212" s="101" t="str">
        <x:v>Spanish Grand Prix</x:v>
      </x:c>
      <x:c r="E212" s="101" t="str">
        <x:v>genuine</x:v>
      </x:c>
      <x:c r="F212" s="101" t="str"/>
      <x:c r="G212" s="101" t="str">
        <x:v>constructor</x:v>
      </x:c>
      <x:c r="H212" s="101" t="str">
        <x:v>racing_bulls</x:v>
      </x:c>
      <x:c r="I212" s="101" t="str">
        <x:v>mclaren</x:v>
      </x:c>
      <x:c r="J212" s="102" t="n">
        <x:v>9.9</x:v>
      </x:c>
      <x:c r="K212" s="102" t="n">
        <x:v>29.5</x:v>
      </x:c>
      <x:c r="L212" s="102" t="n">
        <x:v>19.6</x:v>
      </x:c>
      <x:c r="M212" s="104" t="n">
        <x:v>25.8</x:v>
      </x:c>
      <x:c r="N212" s="104" t="n">
        <x:v>72</x:v>
      </x:c>
      <x:c r="O212" s="104" t="n">
        <x:v>46.2</x:v>
      </x:c>
      <x:c r="P212" s="104" t="n">
        <x:v>0.6</x:v>
      </x:c>
      <x:c r="Q212" s="104" t="n">
        <x:v>0.3</x:v>
      </x:c>
      <x:c r="R212" s="104" t="n">
        <x:v>-0.3</x:v>
      </x:c>
      <x:c r="S212" s="104" t="n">
        <x:v>5.5</x:v>
      </x:c>
      <x:c r="T212" s="104" t="n">
        <x:v>35.4</x:v>
      </x:c>
      <x:c r="U212" s="104" t="n">
        <x:v>0</x:v>
      </x:c>
      <x:c r="V212" s="104" t="n">
        <x:v>40.2</x:v>
      </x:c>
      <x:c r="W212" s="103" t="n">
        <x:v>10</x:v>
      </x:c>
      <x:c r="X212" s="105" t="str">
        <x:v>raised approximate per-asset strategy/risk utility by +40.2; projection +46.2 pts; forecast price change -0.3M; spent $19.6M more.</x:v>
      </x:c>
    </x:row>
    <x:row r="213" ht="44" customHeight="1">
      <x:c r="A213" s="101" t="str">
        <x:v>Budget Builder</x:v>
      </x:c>
      <x:c r="B213" s="101" t="str">
        <x:v>Maximum tolerance</x:v>
      </x:c>
      <x:c r="C213" s="101" t="n">
        <x:v>10</x:v>
      </x:c>
      <x:c r="D213" s="101" t="str">
        <x:v>Austrian Grand Prix</x:v>
      </x:c>
      <x:c r="E213" s="101" t="str">
        <x:v>genuine</x:v>
      </x:c>
      <x:c r="F213" s="101" t="str">
        <x:v>no negative</x:v>
      </x:c>
      <x:c r="G213" s="101" t="str">
        <x:v>driver</x:v>
      </x:c>
      <x:c r="H213" s="101" t="str">
        <x:v>COL</x:v>
      </x:c>
      <x:c r="I213" s="101" t="str">
        <x:v>LIN</x:v>
      </x:c>
      <x:c r="J213" s="102" t="n">
        <x:v>10</x:v>
      </x:c>
      <x:c r="K213" s="102" t="n">
        <x:v>5.6</x:v>
      </x:c>
      <x:c r="L213" s="102" t="n">
        <x:v>-4.4</x:v>
      </x:c>
      <x:c r="M213" s="104" t="n">
        <x:v>5.6</x:v>
      </x:c>
      <x:c r="N213" s="104" t="n">
        <x:v>6.4</x:v>
      </x:c>
      <x:c r="O213" s="104" t="n">
        <x:v>0.8</x:v>
      </x:c>
      <x:c r="P213" s="104" t="n">
        <x:v>-0.6</x:v>
      </x:c>
      <x:c r="Q213" s="104" t="n">
        <x:v>0.6</x:v>
      </x:c>
      <x:c r="R213" s="104" t="n">
        <x:v>1.2</x:v>
      </x:c>
      <x:c r="S213" s="104" t="n">
        <x:v>-3</x:v>
      </x:c>
      <x:c r="T213" s="104" t="n">
        <x:v>-2</x:v>
      </x:c>
      <x:c r="U213" s="104" t="n">
        <x:v>-1</x:v>
      </x:c>
      <x:c r="V213" s="104" t="n">
        <x:v>24.8</x:v>
      </x:c>
      <x:c r="W213" s="103" t="n">
        <x:v>10</x:v>
      </x:c>
      <x:c r="X213" s="105" t="str">
        <x:v>raised approximate per-asset strategy/risk utility by +24.8; projection +0.8 pts; forecast price change +1.2M; negative-P5 exposure -1.0; released $4.4M.</x:v>
      </x:c>
    </x:row>
    <x:row r="214" ht="44" customHeight="1">
      <x:c r="A214" s="101" t="str">
        <x:v>Budget Builder</x:v>
      </x:c>
      <x:c r="B214" s="101" t="str">
        <x:v>Maximum tolerance</x:v>
      </x:c>
      <x:c r="C214" s="101" t="n">
        <x:v>10</x:v>
      </x:c>
      <x:c r="D214" s="101" t="str">
        <x:v>Austrian Grand Prix</x:v>
      </x:c>
      <x:c r="E214" s="101" t="str">
        <x:v>genuine</x:v>
      </x:c>
      <x:c r="F214" s="101" t="str">
        <x:v>no negative</x:v>
      </x:c>
      <x:c r="G214" s="101" t="str">
        <x:v>constructor</x:v>
      </x:c>
      <x:c r="H214" s="101" t="str">
        <x:v>mclaren</x:v>
      </x:c>
      <x:c r="I214" s="101" t="str">
        <x:v>mercedes</x:v>
      </x:c>
      <x:c r="J214" s="102" t="n">
        <x:v>29.8</x:v>
      </x:c>
      <x:c r="K214" s="102" t="n">
        <x:v>31.4</x:v>
      </x:c>
      <x:c r="L214" s="102" t="n">
        <x:v>1.6</x:v>
      </x:c>
      <x:c r="M214" s="104" t="n">
        <x:v>51.4</x:v>
      </x:c>
      <x:c r="N214" s="104" t="n">
        <x:v>77.2</x:v>
      </x:c>
      <x:c r="O214" s="104" t="n">
        <x:v>25.8</x:v>
      </x:c>
      <x:c r="P214" s="104" t="n">
        <x:v>0.3</x:v>
      </x:c>
      <x:c r="Q214" s="104" t="n">
        <x:v>0.3</x:v>
      </x:c>
      <x:c r="R214" s="104" t="n">
        <x:v>0</x:v>
      </x:c>
      <x:c r="S214" s="104" t="n">
        <x:v>13.4</x:v>
      </x:c>
      <x:c r="T214" s="104" t="n">
        <x:v>24.1</x:v>
      </x:c>
      <x:c r="U214" s="104" t="n">
        <x:v>0</x:v>
      </x:c>
      <x:c r="V214" s="104" t="n">
        <x:v>25.8</x:v>
      </x:c>
      <x:c r="W214" s="103" t="n">
        <x:v>10</x:v>
      </x:c>
      <x:c r="X214" s="105" t="str">
        <x:v>raised approximate per-asset strategy/risk utility by +25.8; projection +25.8 pts; spent $1.6M more.</x:v>
      </x:c>
    </x:row>
    <x:row r="215" ht="44" customHeight="1">
      <x:c r="A215" s="101" t="str">
        <x:v>Budget Builder</x:v>
      </x:c>
      <x:c r="B215" s="101" t="str">
        <x:v>Maximum tolerance</x:v>
      </x:c>
      <x:c r="C215" s="101" t="n">
        <x:v>11</x:v>
      </x:c>
      <x:c r="D215" s="101" t="str">
        <x:v>British Grand Prix</x:v>
      </x:c>
      <x:c r="E215" s="101" t="str">
        <x:v>genuine</x:v>
      </x:c>
      <x:c r="F215" s="101" t="str"/>
      <x:c r="G215" s="101" t="str">
        <x:v>driver</x:v>
      </x:c>
      <x:c r="H215" s="101" t="str">
        <x:v>ANT</x:v>
      </x:c>
      <x:c r="I215" s="101" t="str">
        <x:v>HAM</x:v>
      </x:c>
      <x:c r="J215" s="102" t="n">
        <x:v>25.4</x:v>
      </x:c>
      <x:c r="K215" s="102" t="n">
        <x:v>24.5</x:v>
      </x:c>
      <x:c r="L215" s="102" t="n">
        <x:v>-0.9</x:v>
      </x:c>
      <x:c r="M215" s="104" t="n">
        <x:v>31.2</x:v>
      </x:c>
      <x:c r="N215" s="104" t="n">
        <x:v>30.2</x:v>
      </x:c>
      <x:c r="O215" s="104" t="n">
        <x:v>-1</x:v>
      </x:c>
      <x:c r="P215" s="104" t="n">
        <x:v>-0.1</x:v>
      </x:c>
      <x:c r="Q215" s="104" t="n">
        <x:v>0.3</x:v>
      </x:c>
      <x:c r="R215" s="104" t="n">
        <x:v>0.4</x:v>
      </x:c>
      <x:c r="S215" s="104" t="n">
        <x:v>0</x:v>
      </x:c>
      <x:c r="T215" s="104" t="n">
        <x:v>-2</x:v>
      </x:c>
      <x:c r="U215" s="104" t="n">
        <x:v>2</x:v>
      </x:c>
      <x:c r="V215" s="104" t="n">
        <x:v>7</x:v>
      </x:c>
      <x:c r="W215" s="103" t="n">
        <x:v>10</x:v>
      </x:c>
      <x:c r="X215" s="105" t="str">
        <x:v>raised approximate per-asset strategy/risk utility by +7.0; gave up 1.0 projected pts; forecast price change +0.4M; negative-P5 exposure +2.0; released $0.9M; became the projected 2x captain.</x:v>
      </x:c>
    </x:row>
    <x:row r="216" ht="44" customHeight="1">
      <x:c r="A216" s="101" t="str">
        <x:v>Budget Builder</x:v>
      </x:c>
      <x:c r="B216" s="101" t="str">
        <x:v>Maximum tolerance</x:v>
      </x:c>
      <x:c r="C216" s="101" t="n">
        <x:v>11</x:v>
      </x:c>
      <x:c r="D216" s="101" t="str">
        <x:v>British Grand Prix</x:v>
      </x:c>
      <x:c r="E216" s="101" t="str">
        <x:v>genuine</x:v>
      </x:c>
      <x:c r="F216" s="101" t="str"/>
      <x:c r="G216" s="101" t="str">
        <x:v>driver</x:v>
      </x:c>
      <x:c r="H216" s="101" t="str">
        <x:v>LAW</x:v>
      </x:c>
      <x:c r="I216" s="101" t="str">
        <x:v>HAD</x:v>
      </x:c>
      <x:c r="J216" s="102" t="n">
        <x:v>8.9</x:v>
      </x:c>
      <x:c r="K216" s="102" t="n">
        <x:v>12.7</x:v>
      </x:c>
      <x:c r="L216" s="102" t="n">
        <x:v>3.8</x:v>
      </x:c>
      <x:c r="M216" s="104" t="n">
        <x:v>5.9</x:v>
      </x:c>
      <x:c r="N216" s="104" t="n">
        <x:v>12.1</x:v>
      </x:c>
      <x:c r="O216" s="104" t="n">
        <x:v>6.2</x:v>
      </x:c>
      <x:c r="P216" s="104" t="n">
        <x:v>-0.2</x:v>
      </x:c>
      <x:c r="Q216" s="104" t="n">
        <x:v>0.6</x:v>
      </x:c>
      <x:c r="R216" s="104" t="n">
        <x:v>0.8</x:v>
      </x:c>
      <x:c r="S216" s="104" t="n">
        <x:v>-17.1</x:v>
      </x:c>
      <x:c r="T216" s="104" t="n">
        <x:v>-16.3</x:v>
      </x:c>
      <x:c r="U216" s="104" t="n">
        <x:v>-0.8</x:v>
      </x:c>
      <x:c r="V216" s="104" t="n">
        <x:v>22.2</x:v>
      </x:c>
      <x:c r="W216" s="103" t="n">
        <x:v>10</x:v>
      </x:c>
      <x:c r="X216" s="105" t="str">
        <x:v>raised approximate per-asset strategy/risk utility by +22.2; projection +6.2 pts; forecast price change +0.8M; negative-P5 exposure -0.8; spent $3.8M more.</x:v>
      </x:c>
    </x:row>
    <x:row r="217" ht="44" customHeight="1">
      <x:c r="A217" s="101" t="str">
        <x:v>Budget Builder</x:v>
      </x:c>
      <x:c r="B217" s="101" t="str">
        <x:v>Maximum tolerance</x:v>
      </x:c>
      <x:c r="C217" s="101" t="n">
        <x:v>12</x:v>
      </x:c>
      <x:c r="D217" s="101" t="str">
        <x:v>Belgian Grand Prix</x:v>
      </x:c>
      <x:c r="E217" s="101" t="str">
        <x:v>genuine</x:v>
      </x:c>
      <x:c r="F217" s="101" t="str">
        <x:v>autopilot</x:v>
      </x:c>
      <x:c r="G217" s="101" t="str">
        <x:v>constructor</x:v>
      </x:c>
      <x:c r="H217" s="101" t="str">
        <x:v>mercedes</x:v>
      </x:c>
      <x:c r="I217" s="101" t="str">
        <x:v>red_bull</x:v>
      </x:c>
      <x:c r="J217" s="102" t="n">
        <x:v>32</x:v>
      </x:c>
      <x:c r="K217" s="102" t="n">
        <x:v>30.3</x:v>
      </x:c>
      <x:c r="L217" s="102" t="n">
        <x:v>-1.7</x:v>
      </x:c>
      <x:c r="M217" s="104" t="n">
        <x:v>59.1</x:v>
      </x:c>
      <x:c r="N217" s="104" t="n">
        <x:v>68.4</x:v>
      </x:c>
      <x:c r="O217" s="104" t="n">
        <x:v>9.3</x:v>
      </x:c>
      <x:c r="P217" s="104" t="n">
        <x:v>0.3</x:v>
      </x:c>
      <x:c r="Q217" s="104" t="n">
        <x:v>0.3</x:v>
      </x:c>
      <x:c r="R217" s="104" t="n">
        <x:v>0</x:v>
      </x:c>
      <x:c r="S217" s="104" t="n">
        <x:v>19.8</x:v>
      </x:c>
      <x:c r="T217" s="104" t="n">
        <x:v>12.9</x:v>
      </x:c>
      <x:c r="U217" s="104" t="n">
        <x:v>0</x:v>
      </x:c>
      <x:c r="V217" s="104" t="n">
        <x:v>9.3</x:v>
      </x:c>
      <x:c r="W217" s="103" t="n">
        <x:v>0</x:v>
      </x:c>
      <x:c r="X217" s="105" t="str">
        <x:v>raised approximate per-asset strategy/risk utility by +9.3; projection +9.3 pts; released $1.7M.</x:v>
      </x:c>
    </x:row>
    <x:row r="218" ht="44" customHeight="1">
      <x:c r="A218" s="101" t="str">
        <x:v>Budget Builder</x:v>
      </x:c>
      <x:c r="B218" s="101" t="str">
        <x:v>Maximum tolerance</x:v>
      </x:c>
      <x:c r="C218" s="101" t="n">
        <x:v>13</x:v>
      </x:c>
      <x:c r="D218" s="101" t="str">
        <x:v>Hungarian Grand Prix</x:v>
      </x:c>
      <x:c r="E218" s="101" t="str">
        <x:v>genuine</x:v>
      </x:c>
      <x:c r="F218" s="101" t="str"/>
      <x:c r="G218" s="101" t="str">
        <x:v>constructor</x:v>
      </x:c>
      <x:c r="H218" s="101" t="str">
        <x:v>red_bull</x:v>
      </x:c>
      <x:c r="I218" s="101" t="str">
        <x:v>mclaren</x:v>
      </x:c>
      <x:c r="J218" s="102" t="n">
        <x:v>30.6</x:v>
      </x:c>
      <x:c r="K218" s="102" t="n">
        <x:v>30.7</x:v>
      </x:c>
      <x:c r="L218" s="102" t="n">
        <x:v>0.1</x:v>
      </x:c>
      <x:c r="M218" s="104" t="n">
        <x:v>31.1</x:v>
      </x:c>
      <x:c r="N218" s="104" t="n">
        <x:v>51.8</x:v>
      </x:c>
      <x:c r="O218" s="104" t="n">
        <x:v>20.7</x:v>
      </x:c>
      <x:c r="P218" s="104" t="n">
        <x:v>0.3</x:v>
      </x:c>
      <x:c r="Q218" s="104" t="n">
        <x:v>0.3</x:v>
      </x:c>
      <x:c r="R218" s="104" t="n">
        <x:v>0</x:v>
      </x:c>
      <x:c r="S218" s="104" t="n">
        <x:v>2.5</x:v>
      </x:c>
      <x:c r="T218" s="104" t="n">
        <x:v>15.3</x:v>
      </x:c>
      <x:c r="U218" s="104" t="n">
        <x:v>0</x:v>
      </x:c>
      <x:c r="V218" s="104" t="n">
        <x:v>20.7</x:v>
      </x:c>
      <x:c r="W218" s="103" t="n">
        <x:v>0</x:v>
      </x:c>
      <x:c r="X218" s="105" t="str">
        <x:v>raised approximate per-asset strategy/risk utility by +20.7; projection +20.7 pts; spent $0.1M more.</x:v>
      </x:c>
    </x:row>
  </x:sheetData>
  <x:mergeCells>
    <x:mergeCell ref="A1:X1"/>
    <x:mergeCell ref="A2:X2"/>
  </x:mergeCells>
  <x:conditionalFormatting sqref="O5:O218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7eb8315c4847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Chip timing and conditional contribution</x:v>
      </x:c>
      <x:c r="B1" s="4" t="str">
        <x:v>Chip timing and conditional contribution</x:v>
      </x:c>
      <x:c r="C1" s="4" t="str">
        <x:v>Chip timing and conditional contribution</x:v>
      </x:c>
      <x:c r="D1" s="4" t="str">
        <x:v>Chip timing and conditional contribution</x:v>
      </x:c>
      <x:c r="E1" s="4" t="str">
        <x:v>Chip timing and conditional contribution</x:v>
      </x:c>
      <x:c r="F1" s="4" t="str">
        <x:v>Chip timing and conditional contribution</x:v>
      </x:c>
      <x:c r="G1" s="4" t="str">
        <x:v>Chip timing and conditional contribution</x:v>
      </x:c>
      <x:c r="H1" s="4" t="str">
        <x:v>Chip timing and conditional contribution</x:v>
      </x:c>
    </x:row>
    <x:row r="2">
      <x:c r="A2" s="13" t="str">
        <x:v>Conditional contribution removes one chip while holding the other scheduled chips fixed. Effects are not additive because team paths interact.</x:v>
      </x:c>
      <x:c r="B2" s="14" t="str">
        <x:v>Conditional contribution removes one chip while holding the other scheduled chips fixed. Effects are not additive because team paths interact.</x:v>
      </x:c>
      <x:c r="C2" s="14" t="str">
        <x:v>Conditional contribution removes one chip while holding the other scheduled chips fixed. Effects are not additive because team paths interact.</x:v>
      </x:c>
      <x:c r="D2" s="14" t="str">
        <x:v>Conditional contribution removes one chip while holding the other scheduled chips fixed. Effects are not additive because team paths interact.</x:v>
      </x:c>
      <x:c r="E2" s="14" t="str">
        <x:v>Conditional contribution removes one chip while holding the other scheduled chips fixed. Effects are not additive because team paths interact.</x:v>
      </x:c>
      <x:c r="F2" s="14" t="str">
        <x:v>Conditional contribution removes one chip while holding the other scheduled chips fixed. Effects are not additive because team paths interact.</x:v>
      </x:c>
      <x:c r="G2" s="14" t="str">
        <x:v>Conditional contribution removes one chip while holding the other scheduled chips fixed. Effects are not additive because team paths interact.</x:v>
      </x:c>
      <x:c r="H2" s="15" t="str">
        <x:v>Conditional contribution removes one chip while holding the other scheduled chips fixed. Effects are not additive because team paths interact.</x:v>
      </x:c>
    </x:row>
    <x:row r="4" ht="30" customHeight="1">
      <x:c r="A4" s="81" t="str">
        <x:v>Chip</x:v>
      </x:c>
      <x:c r="B4" s="81" t="str">
        <x:v>Paths played</x:v>
      </x:c>
      <x:c r="C4" s="81" t="str">
        <x:v>Positive return</x:v>
      </x:c>
      <x:c r="D4" s="81" t="str">
        <x:v>Mean points</x:v>
      </x:c>
      <x:c r="E4" s="81" t="str">
        <x:v>Median points</x:v>
      </x:c>
      <x:c r="F4" s="81" t="str">
        <x:v>Minimum</x:v>
      </x:c>
      <x:c r="G4" s="81" t="str">
        <x:v>Maximum</x:v>
      </x:c>
      <x:c r="H4" s="81" t="str">
        <x:v>Mean budget</x:v>
      </x:c>
    </x:row>
    <x:row r="5">
      <x:c r="A5" t="str">
        <x:v>Limitless</x:v>
      </x:c>
      <x:c r="B5" t="n">
        <x:v>12</x:v>
      </x:c>
      <x:c r="C5" s="108" t="n">
        <x:v>0.917</x:v>
      </x:c>
      <x:c r="D5" s="109" t="n">
        <x:v>81</x:v>
      </x:c>
      <x:c r="E5" s="109" t="n">
        <x:v>71</x:v>
      </x:c>
      <x:c r="F5" s="109" t="n">
        <x:v>-164</x:v>
      </x:c>
      <x:c r="G5" s="109" t="n">
        <x:v>218</x:v>
      </x:c>
      <x:c r="H5" s="110" t="n">
        <x:v>0.058</x:v>
      </x:c>
    </x:row>
    <x:row r="6">
      <x:c r="A6" t="str">
        <x:v>Wild Card</x:v>
      </x:c>
      <x:c r="B6" t="n">
        <x:v>11</x:v>
      </x:c>
      <x:c r="C6" s="108" t="n">
        <x:v>1</x:v>
      </x:c>
      <x:c r="D6" s="109" t="n">
        <x:v>43.45</x:v>
      </x:c>
      <x:c r="E6" s="109" t="n">
        <x:v>40</x:v>
      </x:c>
      <x:c r="F6" s="109" t="n">
        <x:v>15</x:v>
      </x:c>
      <x:c r="G6" s="109" t="n">
        <x:v>156</x:v>
      </x:c>
      <x:c r="H6" s="110" t="n">
        <x:v>-0.182</x:v>
      </x:c>
    </x:row>
    <x:row r="7">
      <x:c r="A7" t="str">
        <x:v>No Negative</x:v>
      </x:c>
      <x:c r="B7" t="n">
        <x:v>12</x:v>
      </x:c>
      <x:c r="C7" s="108" t="n">
        <x:v>0.083</x:v>
      </x:c>
      <x:c r="D7" s="109" t="n">
        <x:v>1.42</x:v>
      </x:c>
      <x:c r="E7" s="109" t="n">
        <x:v>0</x:v>
      </x:c>
      <x:c r="F7" s="109" t="n">
        <x:v>0</x:v>
      </x:c>
      <x:c r="G7" s="109" t="n">
        <x:v>17</x:v>
      </x:c>
      <x:c r="H7" s="110" t="n">
        <x:v>0</x:v>
      </x:c>
    </x:row>
    <x:row r="8">
      <x:c r="A8" t="str">
        <x:v>Autopilot</x:v>
      </x:c>
      <x:c r="B8" t="n">
        <x:v>12</x:v>
      </x:c>
      <x:c r="C8" s="108" t="n">
        <x:v>0.5</x:v>
      </x:c>
      <x:c r="D8" s="109" t="n">
        <x:v>7.5</x:v>
      </x:c>
      <x:c r="E8" s="109" t="n">
        <x:v>2</x:v>
      </x:c>
      <x:c r="F8" s="109" t="n">
        <x:v>0</x:v>
      </x:c>
      <x:c r="G8" s="109" t="n">
        <x:v>30</x:v>
      </x:c>
      <x:c r="H8" s="110" t="n">
        <x:v>0</x:v>
      </x:c>
    </x:row>
    <x:row r="11" ht="30" customHeight="1">
      <x:c r="A11" s="81" t="str">
        <x:v>Manager</x:v>
      </x:c>
      <x:c r="B11" s="81" t="str">
        <x:v>Risk profile</x:v>
      </x:c>
      <x:c r="C11" s="81" t="str">
        <x:v>Limitless</x:v>
      </x:c>
      <x:c r="D11" s="81" t="str">
        <x:v>Wild Card</x:v>
      </x:c>
      <x:c r="E11" s="81" t="str">
        <x:v>No Negative</x:v>
      </x:c>
      <x:c r="F11" s="81" t="str">
        <x:v>Autopilot</x:v>
      </x:c>
      <x:c r="G11" s="81" t="str">
        <x:v>3x Boost</x:v>
      </x:c>
    </x:row>
    <x:row r="12">
      <x:c r="A12" t="str">
        <x:v>Max Points</x:v>
      </x:c>
      <x:c r="B12" t="str">
        <x:v>Total avoidance</x:v>
      </x:c>
      <x:c r="C12" t="n">
        <x:v>8</x:v>
      </x:c>
      <x:c r="D12" t="n">
        <x:v>7</x:v>
      </x:c>
      <x:c r="E12" t="n">
        <x:v>10</x:v>
      </x:c>
      <x:c r="F12" t="n">
        <x:v>11</x:v>
      </x:c>
      <x:c r="G12" t="str">
        <x:v>Saved</x:v>
      </x:c>
    </x:row>
    <x:row r="13">
      <x:c r="A13" t="str">
        <x:v>Max Points</x:v>
      </x:c>
      <x:c r="B13" t="str">
        <x:v>Minimal risk accepted</x:v>
      </x:c>
      <x:c r="C13" t="n">
        <x:v>8</x:v>
      </x:c>
      <x:c r="D13" t="n">
        <x:v>12</x:v>
      </x:c>
      <x:c r="E13" t="n">
        <x:v>10</x:v>
      </x:c>
      <x:c r="F13" t="n">
        <x:v>11</x:v>
      </x:c>
      <x:c r="G13" t="str">
        <x:v>Saved</x:v>
      </x:c>
    </x:row>
    <x:row r="14">
      <x:c r="A14" t="str">
        <x:v>Max Points</x:v>
      </x:c>
      <x:c r="B14" t="str">
        <x:v>Medium tolerance</x:v>
      </x:c>
      <x:c r="C14" t="n">
        <x:v>8</x:v>
      </x:c>
      <x:c r="D14" t="str">
        <x:v>Saved</x:v>
      </x:c>
      <x:c r="E14" t="n">
        <x:v>10</x:v>
      </x:c>
      <x:c r="F14" t="n">
        <x:v>12</x:v>
      </x:c>
      <x:c r="G14" t="str">
        <x:v>Saved</x:v>
      </x:c>
    </x:row>
    <x:row r="15">
      <x:c r="A15" t="str">
        <x:v>Max Points</x:v>
      </x:c>
      <x:c r="B15" t="str">
        <x:v>Maximum tolerance</x:v>
      </x:c>
      <x:c r="C15" t="n">
        <x:v>8</x:v>
      </x:c>
      <x:c r="D15" t="n">
        <x:v>12</x:v>
      </x:c>
      <x:c r="E15" t="n">
        <x:v>10</x:v>
      </x:c>
      <x:c r="F15" t="n">
        <x:v>11</x:v>
      </x:c>
      <x:c r="G15" t="str">
        <x:v>Saved</x:v>
      </x:c>
    </x:row>
    <x:row r="16">
      <x:c r="A16" t="str">
        <x:v>Balanced</x:v>
      </x:c>
      <x:c r="B16" t="str">
        <x:v>Total avoidance</x:v>
      </x:c>
      <x:c r="C16" t="n">
        <x:v>8</x:v>
      </x:c>
      <x:c r="D16" t="n">
        <x:v>7</x:v>
      </x:c>
      <x:c r="E16" t="n">
        <x:v>10</x:v>
      </x:c>
      <x:c r="F16" t="n">
        <x:v>11</x:v>
      </x:c>
      <x:c r="G16" t="str">
        <x:v>Saved</x:v>
      </x:c>
    </x:row>
    <x:row r="17">
      <x:c r="A17" t="str">
        <x:v>Balanced</x:v>
      </x:c>
      <x:c r="B17" t="str">
        <x:v>Minimal risk accepted</x:v>
      </x:c>
      <x:c r="C17" t="n">
        <x:v>8</x:v>
      </x:c>
      <x:c r="D17" t="n">
        <x:v>12</x:v>
      </x:c>
      <x:c r="E17" t="n">
        <x:v>10</x:v>
      </x:c>
      <x:c r="F17" t="n">
        <x:v>11</x:v>
      </x:c>
      <x:c r="G17" t="str">
        <x:v>Saved</x:v>
      </x:c>
    </x:row>
    <x:row r="18">
      <x:c r="A18" t="str">
        <x:v>Balanced</x:v>
      </x:c>
      <x:c r="B18" t="str">
        <x:v>Medium tolerance</x:v>
      </x:c>
      <x:c r="C18" t="n">
        <x:v>8</x:v>
      </x:c>
      <x:c r="D18" t="n">
        <x:v>12</x:v>
      </x:c>
      <x:c r="E18" t="n">
        <x:v>10</x:v>
      </x:c>
      <x:c r="F18" t="n">
        <x:v>11</x:v>
      </x:c>
      <x:c r="G18" t="str">
        <x:v>Saved</x:v>
      </x:c>
    </x:row>
    <x:row r="19">
      <x:c r="A19" t="str">
        <x:v>Balanced</x:v>
      </x:c>
      <x:c r="B19" t="str">
        <x:v>Maximum tolerance</x:v>
      </x:c>
      <x:c r="C19" t="n">
        <x:v>8</x:v>
      </x:c>
      <x:c r="D19" t="n">
        <x:v>7</x:v>
      </x:c>
      <x:c r="E19" t="n">
        <x:v>10</x:v>
      </x:c>
      <x:c r="F19" t="n">
        <x:v>12</x:v>
      </x:c>
      <x:c r="G19" t="str">
        <x:v>Saved</x:v>
      </x:c>
    </x:row>
    <x:row r="20">
      <x:c r="A20" t="str">
        <x:v>Budget Builder</x:v>
      </x:c>
      <x:c r="B20" t="str">
        <x:v>Total avoidance</x:v>
      </x:c>
      <x:c r="C20" t="n">
        <x:v>8</x:v>
      </x:c>
      <x:c r="D20" t="n">
        <x:v>7</x:v>
      </x:c>
      <x:c r="E20" t="n">
        <x:v>10</x:v>
      </x:c>
      <x:c r="F20" t="n">
        <x:v>11</x:v>
      </x:c>
      <x:c r="G20" t="str">
        <x:v>Saved</x:v>
      </x:c>
    </x:row>
    <x:row r="21">
      <x:c r="A21" t="str">
        <x:v>Budget Builder</x:v>
      </x:c>
      <x:c r="B21" t="str">
        <x:v>Minimal risk accepted</x:v>
      </x:c>
      <x:c r="C21" t="n">
        <x:v>8</x:v>
      </x:c>
      <x:c r="D21" t="n">
        <x:v>6</x:v>
      </x:c>
      <x:c r="E21" t="n">
        <x:v>10</x:v>
      </x:c>
      <x:c r="F21" t="n">
        <x:v>12</x:v>
      </x:c>
      <x:c r="G21" t="str">
        <x:v>Saved</x:v>
      </x:c>
    </x:row>
    <x:row r="22">
      <x:c r="A22" t="str">
        <x:v>Budget Builder</x:v>
      </x:c>
      <x:c r="B22" t="str">
        <x:v>Medium tolerance</x:v>
      </x:c>
      <x:c r="C22" t="n">
        <x:v>8</x:v>
      </x:c>
      <x:c r="D22" t="n">
        <x:v>6</x:v>
      </x:c>
      <x:c r="E22" t="n">
        <x:v>10</x:v>
      </x:c>
      <x:c r="F22" t="n">
        <x:v>12</x:v>
      </x:c>
      <x:c r="G22" t="str">
        <x:v>Saved</x:v>
      </x:c>
    </x:row>
    <x:row r="23">
      <x:c r="A23" t="str">
        <x:v>Budget Builder</x:v>
      </x:c>
      <x:c r="B23" t="str">
        <x:v>Maximum tolerance</x:v>
      </x:c>
      <x:c r="C23" t="n">
        <x:v>8</x:v>
      </x:c>
      <x:c r="D23" t="n">
        <x:v>6</x:v>
      </x:c>
      <x:c r="E23" t="n">
        <x:v>10</x:v>
      </x:c>
      <x:c r="F23" t="n">
        <x:v>12</x:v>
      </x:c>
      <x:c r="G23" t="str">
        <x:v>Saved</x:v>
      </x:c>
    </x:row>
  </x:sheetData>
  <x:mergeCells>
    <x:mergeCell ref="A1:H1"/>
    <x:mergeCell ref="A2:H2"/>
  </x:mergeCells>
  <x:conditionalFormatting sqref="C5:C8">
    <x:cfRule type="dataBar" priority="1">
      <x:dataBar>
        <x:cfvo type="min"/>
        <x:cfvo type="max"/>
        <x:color rgb="FF00A6A6"/>
      </x:dataBar>
      <x:extLst>
        <x:ext xmlns:x14="http://schemas.microsoft.com/office/spreadsheetml/2009/9/main" uri="{B025F937-C7B1-47D3-B67F-A62EFF666E3E}">
          <x14:id>{88830A36-AF00-6A40-C6E7-D5CA8357DD06}</x14:id>
        </x:ext>
      </x:extLst>
    </x:cfRule>
  </x:conditionalFormatting>
  <x:pageMargins left="0.7" right="0.7" top="0.75" bottom="0.75" header="0.3" footer="0.3"/>
  <x:tableParts count="2">
    <x:tablePart xmlns:r="http://schemas.openxmlformats.org/officeDocument/2006/relationships" r:id="Rb1c4ce7ed48b4d88"/>
    <x:tablePart xmlns:r="http://schemas.openxmlformats.org/officeDocument/2006/relationships" r:id="R6ce5eaf59bf34a9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8830A36-AF00-6A40-C6E7-D5CA8357DD06}">
            <x14:dataBar gradient="1">
              <x14:cfvo type="min"/>
              <x14:cfvo type="max"/>
              <x14:fillColor rgb="FF00A6A6"/>
            </x14:dataBar>
          </x14:cfRule>
          <xm:sqref>C5:C8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30" customHeight="1">
      <x:c r="A1" s="4" t="str">
        <x:v>Methodology, assumptions and interpretation</x:v>
      </x:c>
      <x:c r="B1" s="4" t="str">
        <x:v>Methodology, assumptions and interpretation</x:v>
      </x:c>
      <x:c r="C1" s="4" t="str">
        <x:v>Methodology, assumptions and interpretation</x:v>
      </x:c>
      <x:c r="D1" s="4" t="str">
        <x:v>Methodology, assumptions and interpretation</x:v>
      </x:c>
      <x:c r="E1" s="4" t="str">
        <x:v>Methodology, assumptions and interpretation</x:v>
      </x:c>
      <x:c r="F1" s="4" t="str">
        <x:v>Methodology, assumptions and interpretation</x:v>
      </x:c>
    </x:row>
    <x:row r="3" ht="30" customHeight="1">
      <x:c r="A3" s="81" t="str">
        <x:v>Item</x:v>
      </x:c>
      <x:c r="B3" s="81" t="str">
        <x:v>Detail</x:v>
      </x:c>
    </x:row>
    <x:row r="4" ht="38" customHeight="1">
      <x:c r="A4" s="101" t="str">
        <x:v>Source simulation</x:v>
      </x:c>
      <x:c r="B4" s="105" t="str">
        <x:v>data/experiments/season_risk_tolerance_with_chips_2026.json</x:v>
      </x:c>
    </x:row>
    <x:row r="5" ht="38" customHeight="1">
      <x:c r="A5" s="101" t="str">
        <x:v>Source transfer ledger</x:v>
      </x:c>
      <x:c r="B5" s="105" t="str">
        <x:v>data/experiments/season_risk_tolerance_with_chips_team_evolution_2026.json</x:v>
      </x:c>
    </x:row>
    <x:row r="6" ht="38" customHeight="1">
      <x:c r="A6" s="101" t="str">
        <x:v>Starting budget</x:v>
      </x:c>
      <x:c r="B6" s="105" t="str">
        <x:v>$100.0M</x:v>
      </x:c>
    </x:row>
    <x:row r="7" ht="38" customHeight="1">
      <x:c r="A7" s="101" t="str">
        <x:v>Completed rounds</x:v>
      </x:c>
      <x:c r="B7" s="105" t="str">
        <x:v>1, 2, 3, 6, 7, 8, 9, 10, 11, 12, 13</x:v>
      </x:c>
    </x:row>
    <x:row r="8" ht="38" customHeight="1">
      <x:c r="A8" s="101" t="str">
        <x:v>Reconstructed archives</x:v>
      </x:c>
      <x:c r="B8" s="105" t="str">
        <x:v>1, 2, 3</x:v>
      </x:c>
    </x:row>
    <x:row r="9" ht="38" customHeight="1">
      <x:c r="A9" s="101" t="str">
        <x:v>Genuine lock-time archives</x:v>
      </x:c>
      <x:c r="B9" s="105" t="str">
        <x:v>6, 7, 8, 9, 10, 11, 12, 13</x:v>
      </x:c>
    </x:row>
    <x:row r="10" ht="38" customHeight="1">
      <x:c r="A10" s="101" t="str">
        <x:v>Max Points</x:v>
      </x:c>
      <x:c r="B10" s="105" t="str">
        <x:v>Projected points after transfer penalties.</x:v>
      </x:c>
    </x:row>
    <x:row r="11" ht="38" customHeight="1">
      <x:c r="A11" s="101" t="str">
        <x:v>Balanced</x:v>
      </x:c>
      <x:c r="B11" s="105" t="str">
        <x:v>Projected points plus 8 points of utility per forecast $1M appreciation.</x:v>
      </x:c>
    </x:row>
    <x:row r="12" ht="38" customHeight="1">
      <x:c r="A12" s="101" t="str">
        <x:v>Budget Builder</x:v>
      </x:c>
      <x:c r="B12" s="105" t="str">
        <x:v>Projected points plus 20 points of utility per forecast $1M appreciation.</x:v>
      </x:c>
    </x:row>
    <x:row r="13" ht="38" customHeight="1">
      <x:c r="A13" s="101" t="str">
        <x:v>Total avoidance</x:v>
      </x:c>
      <x:c r="B13" s="105" t="str">
        <x:v>Lexicographically minimises negative P5 exposure before applying the manager philosophy.</x:v>
      </x:c>
    </x:row>
    <x:row r="14" ht="38" customHeight="1">
      <x:c r="A14" s="101" t="str">
        <x:v>Minimal risk accepted</x:v>
      </x:c>
      <x:c r="B14" s="105" t="str">
        <x:v>Subtracts 2.00 utility points per point of negative P5 exposure.</x:v>
      </x:c>
    </x:row>
    <x:row r="15" ht="38" customHeight="1">
      <x:c r="A15" s="101" t="str">
        <x:v>Medium tolerance</x:v>
      </x:c>
      <x:c r="B15" s="105" t="str">
        <x:v>Subtracts 0.75 utility points per point of negative P5 exposure.</x:v>
      </x:c>
    </x:row>
    <x:row r="16" ht="38" customHeight="1">
      <x:c r="A16" s="101" t="str">
        <x:v>Maximum tolerance</x:v>
      </x:c>
      <x:c r="B16" s="105" t="str">
        <x:v>No downside penalty; selects solely on manager philosophy.</x:v>
      </x:c>
    </x:row>
    <x:row r="17" ht="38" customHeight="1">
      <x:c r="A17" s="101" t="str">
        <x:v>Risk measure</x:v>
      </x:c>
      <x:c r="B17" s="105" t="str">
        <x:v>Sum of max(-P5, 0) across the five drivers and two constructors in each archived pre-deadline Monte Carlo forecast.</x:v>
      </x:c>
    </x:row>
    <x:row r="18" ht="38" customHeight="1">
      <x:c r="A18" s="101" t="str">
        <x:v>Chip policy</x:v>
      </x:c>
      <x:c r="B18" s="105" t="str">
        <x:v>Domain-informed V2 chip timing was applied using genuine pre-deadline archives only. The 3x Boost was saved. The normal 2x captain remained active.</x:v>
      </x:c>
    </x:row>
    <x:row r="19" ht="38" customHeight="1">
      <x:c r="A19" s="101" t="str">
        <x:v>Transfer reason method</x:v>
      </x:c>
      <x:c r="B19" s="105" t="str">
        <x:v>Reasons compare archived projected points, forecast price change, negative-P5 exposure, price, risk penalty, manager price-growth weight, captain status, chip context, and transfer penalty.</x:v>
      </x:c>
    </x:row>
    <x:row r="20" ht="38" customHeight="1">
      <x:c r="A20" s="101" t="str">
        <x:v>Multi-transfer pairing</x:v>
      </x:c>
      <x:c r="B20" s="105" t="str">
        <x:v>When several assets changed together, outgoing and incoming assets are paired by current-price proximity for readability. The optimizer selects the seven-asset lineup jointly, so the lineup-level decision is authoritative rather than any single one-for-one pairing.</x:v>
      </x:c>
    </x:row>
    <x:row r="21" ht="38" customHeight="1">
      <x:c r="A21" s="101" t="str">
        <x:v>Important limitation</x:v>
      </x:c>
      <x:c r="B21" s="105" t="str">
        <x:v>Rounds 1–3 use reconstructed prediction archives. Prefer genuine-archive points when judging current predictive performance.</x:v>
      </x:c>
    </x:row>
    <x:row r="22" ht="38" customHeight="1">
      <x:c r="A22" s="101" t="str">
        <x:v>Validation</x:v>
      </x:c>
      <x:c r="B22" s="105" t="str">
        <x:v>132 weekend-path rows; 214 persistent transfers reconciled exactly; Limitless handled as temporary.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66bd1f765c94c49"/>
  </x:tableParts>
</x:worksheet>
</file>